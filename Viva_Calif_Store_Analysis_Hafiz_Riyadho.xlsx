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F1BDAF76-0E9F-4042-9467-70ACE50B301C}" xr6:coauthVersionLast="47" xr6:coauthVersionMax="47" xr10:uidLastSave="{00000000-0000-0000-0000-000000000000}"/>
  <bookViews>
    <workbookView xWindow="-110" yWindow="-110" windowWidth="19420" windowHeight="11500" activeTab="4" xr2:uid="{326BBA3C-6E7A-419F-B3C5-22614204DFF5}"/>
  </bookViews>
  <sheets>
    <sheet name="data" sheetId="1" r:id="rId1"/>
    <sheet name="questions &amp; KPIs" sheetId="2" r:id="rId2"/>
    <sheet name="matrix pivot" sheetId="8" r:id="rId3"/>
    <sheet name="pivot tables" sheetId="6" r:id="rId4"/>
    <sheet name="dashboard" sheetId="4" r:id="rId5"/>
  </sheets>
  <definedNames>
    <definedName name="_xlchart.v5.0" hidden="1">'pivot tables'!$G$85:$H$85</definedName>
    <definedName name="_xlchart.v5.1" hidden="1">'pivot tables'!$G$86:$H$143</definedName>
    <definedName name="_xlchart.v5.2" hidden="1">'pivot tables'!$I$85</definedName>
    <definedName name="_xlchart.v5.3" hidden="1">'pivot tables'!$I$86:$I$143</definedName>
    <definedName name="_xlchart.v5.4" hidden="1">'pivot tables'!$K$85:$L$85</definedName>
    <definedName name="_xlchart.v5.5" hidden="1">'pivot tables'!$K$86:$L$143</definedName>
    <definedName name="_xlchart.v5.6" hidden="1">'pivot tables'!$M$85</definedName>
    <definedName name="_xlchart.v5.7" hidden="1">'pivot tables'!$M$86:$M$143</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7" i="6" l="1"/>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L86" i="6"/>
  <c r="K86" i="6"/>
  <c r="G87" i="6"/>
  <c r="H87" i="6"/>
  <c r="I87" i="6"/>
  <c r="G88" i="6"/>
  <c r="H88" i="6"/>
  <c r="I88" i="6"/>
  <c r="G89" i="6"/>
  <c r="H89" i="6"/>
  <c r="I89" i="6"/>
  <c r="G90" i="6"/>
  <c r="H90" i="6"/>
  <c r="I90" i="6"/>
  <c r="G91" i="6"/>
  <c r="H91" i="6"/>
  <c r="I91" i="6"/>
  <c r="G92" i="6"/>
  <c r="H92" i="6"/>
  <c r="I92" i="6"/>
  <c r="G93" i="6"/>
  <c r="H93" i="6"/>
  <c r="I93" i="6"/>
  <c r="G94" i="6"/>
  <c r="H94" i="6"/>
  <c r="I94" i="6"/>
  <c r="G95" i="6"/>
  <c r="H95" i="6"/>
  <c r="I95" i="6"/>
  <c r="G96" i="6"/>
  <c r="H96" i="6"/>
  <c r="I96" i="6"/>
  <c r="G97" i="6"/>
  <c r="H97" i="6"/>
  <c r="I97" i="6"/>
  <c r="G98" i="6"/>
  <c r="H98" i="6"/>
  <c r="I98" i="6"/>
  <c r="G99" i="6"/>
  <c r="H99" i="6"/>
  <c r="I99" i="6"/>
  <c r="G100" i="6"/>
  <c r="H100" i="6"/>
  <c r="I100" i="6"/>
  <c r="G101" i="6"/>
  <c r="H101" i="6"/>
  <c r="I101" i="6"/>
  <c r="G102" i="6"/>
  <c r="H102" i="6"/>
  <c r="I102" i="6"/>
  <c r="G103" i="6"/>
  <c r="H103" i="6"/>
  <c r="I103" i="6"/>
  <c r="G104" i="6"/>
  <c r="H104" i="6"/>
  <c r="I104" i="6"/>
  <c r="G105" i="6"/>
  <c r="H105" i="6"/>
  <c r="I105" i="6"/>
  <c r="G106" i="6"/>
  <c r="H106" i="6"/>
  <c r="I106" i="6"/>
  <c r="G107" i="6"/>
  <c r="H107" i="6"/>
  <c r="I107" i="6"/>
  <c r="G108" i="6"/>
  <c r="H108" i="6"/>
  <c r="I108" i="6"/>
  <c r="G109" i="6"/>
  <c r="H109" i="6"/>
  <c r="I109" i="6"/>
  <c r="G110" i="6"/>
  <c r="H110" i="6"/>
  <c r="I110" i="6"/>
  <c r="G111" i="6"/>
  <c r="H111" i="6"/>
  <c r="I111" i="6"/>
  <c r="G112" i="6"/>
  <c r="H112" i="6"/>
  <c r="I112" i="6"/>
  <c r="G113" i="6"/>
  <c r="H113" i="6"/>
  <c r="I113" i="6"/>
  <c r="G114" i="6"/>
  <c r="H114" i="6"/>
  <c r="I114" i="6"/>
  <c r="G115" i="6"/>
  <c r="H115" i="6"/>
  <c r="I115" i="6"/>
  <c r="G116" i="6"/>
  <c r="H116" i="6"/>
  <c r="I116" i="6"/>
  <c r="G117" i="6"/>
  <c r="H117" i="6"/>
  <c r="I117" i="6"/>
  <c r="G118" i="6"/>
  <c r="H118" i="6"/>
  <c r="I118" i="6"/>
  <c r="G119" i="6"/>
  <c r="H119" i="6"/>
  <c r="I119" i="6"/>
  <c r="G120" i="6"/>
  <c r="H120" i="6"/>
  <c r="I120" i="6"/>
  <c r="G121" i="6"/>
  <c r="H121" i="6"/>
  <c r="I121" i="6"/>
  <c r="G122" i="6"/>
  <c r="H122" i="6"/>
  <c r="I122" i="6"/>
  <c r="G123" i="6"/>
  <c r="H123" i="6"/>
  <c r="I123" i="6"/>
  <c r="G124" i="6"/>
  <c r="H124" i="6"/>
  <c r="I124" i="6"/>
  <c r="G125" i="6"/>
  <c r="H125" i="6"/>
  <c r="I125" i="6"/>
  <c r="G126" i="6"/>
  <c r="H126" i="6"/>
  <c r="I126" i="6"/>
  <c r="G127" i="6"/>
  <c r="H127" i="6"/>
  <c r="I127" i="6"/>
  <c r="G128" i="6"/>
  <c r="H128" i="6"/>
  <c r="I128" i="6"/>
  <c r="G129" i="6"/>
  <c r="H129" i="6"/>
  <c r="I129" i="6"/>
  <c r="G130" i="6"/>
  <c r="H130" i="6"/>
  <c r="I130" i="6"/>
  <c r="G131" i="6"/>
  <c r="H131" i="6"/>
  <c r="I131" i="6"/>
  <c r="G132" i="6"/>
  <c r="H132" i="6"/>
  <c r="I132" i="6"/>
  <c r="G133" i="6"/>
  <c r="H133" i="6"/>
  <c r="I133" i="6"/>
  <c r="G134" i="6"/>
  <c r="H134" i="6"/>
  <c r="I134" i="6"/>
  <c r="G135" i="6"/>
  <c r="H135" i="6"/>
  <c r="I135" i="6"/>
  <c r="G136" i="6"/>
  <c r="H136" i="6"/>
  <c r="I136" i="6"/>
  <c r="G137" i="6"/>
  <c r="H137" i="6"/>
  <c r="I137" i="6"/>
  <c r="G138" i="6"/>
  <c r="H138" i="6"/>
  <c r="I138" i="6"/>
  <c r="G139" i="6"/>
  <c r="H139" i="6"/>
  <c r="I139" i="6"/>
  <c r="G140" i="6"/>
  <c r="H140" i="6"/>
  <c r="I140" i="6"/>
  <c r="G141" i="6"/>
  <c r="H141" i="6"/>
  <c r="I141" i="6"/>
  <c r="G142" i="6"/>
  <c r="H142" i="6"/>
  <c r="I142" i="6"/>
  <c r="G143" i="6"/>
  <c r="H143" i="6"/>
  <c r="I143" i="6"/>
  <c r="H86" i="6"/>
  <c r="I86" i="6"/>
  <c r="G86" i="6"/>
  <c r="J4" i="8"/>
  <c r="K4" i="8"/>
  <c r="L4" i="8"/>
  <c r="I4" i="8"/>
  <c r="I5" i="8"/>
  <c r="J5" i="8"/>
  <c r="K5" i="8"/>
  <c r="L5" i="8"/>
  <c r="I6" i="8"/>
  <c r="J6" i="8"/>
  <c r="K6" i="8"/>
  <c r="L6" i="8"/>
  <c r="I7" i="8"/>
  <c r="J7" i="8"/>
  <c r="K7" i="8"/>
  <c r="L7" i="8"/>
  <c r="I8" i="8"/>
  <c r="J8" i="8"/>
  <c r="K8" i="8"/>
  <c r="L8" i="8"/>
  <c r="I9" i="8"/>
  <c r="J9" i="8"/>
  <c r="K9" i="8"/>
  <c r="L9" i="8"/>
  <c r="H6" i="8"/>
  <c r="H7" i="8"/>
  <c r="H8" i="8"/>
  <c r="H9" i="8"/>
  <c r="H5" i="8"/>
  <c r="K4" i="6"/>
  <c r="J4" i="6"/>
  <c r="I4" i="6"/>
  <c r="H4" i="6"/>
  <c r="G4" i="6"/>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c r="O1994" i="1" a="1"/>
  <c r="N1994" i="1"/>
  <c r="M1994" i="1"/>
  <c r="O1993" i="1" a="1"/>
  <c r="O1993" i="1" s="1"/>
  <c r="N1993" i="1"/>
  <c r="M1993" i="1"/>
  <c r="O1992" i="1" a="1"/>
  <c r="O1992" i="1" s="1"/>
  <c r="N1992" i="1"/>
  <c r="M1992" i="1"/>
  <c r="O1991" i="1"/>
  <c r="O1991" i="1" a="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c r="O1985" i="1" a="1"/>
  <c r="N1985" i="1"/>
  <c r="M1985" i="1"/>
  <c r="O1984" i="1" a="1"/>
  <c r="O1984" i="1" s="1"/>
  <c r="N1984" i="1"/>
  <c r="M1984" i="1"/>
  <c r="O1983" i="1" a="1"/>
  <c r="O1983" i="1" s="1"/>
  <c r="N1983" i="1"/>
  <c r="M1983" i="1"/>
  <c r="O1982" i="1"/>
  <c r="O1982" i="1" a="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c r="O1976" i="1" a="1"/>
  <c r="N1976" i="1"/>
  <c r="M1976" i="1"/>
  <c r="O1975" i="1" a="1"/>
  <c r="O1975" i="1" s="1"/>
  <c r="N1975" i="1"/>
  <c r="M1975" i="1"/>
  <c r="O1974" i="1" a="1"/>
  <c r="O1974" i="1" s="1"/>
  <c r="N1974" i="1"/>
  <c r="M1974" i="1"/>
  <c r="O1973" i="1"/>
  <c r="O1973" i="1" a="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c r="O1967" i="1" a="1"/>
  <c r="N1967" i="1"/>
  <c r="M1967" i="1"/>
  <c r="O1966" i="1" a="1"/>
  <c r="O1966" i="1" s="1"/>
  <c r="N1966" i="1"/>
  <c r="M1966" i="1"/>
  <c r="O1965" i="1" a="1"/>
  <c r="O1965" i="1" s="1"/>
  <c r="N1965" i="1"/>
  <c r="M1965" i="1"/>
  <c r="O1964" i="1"/>
  <c r="O1964" i="1" a="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c r="O1958" i="1" a="1"/>
  <c r="N1958" i="1"/>
  <c r="M1958" i="1"/>
  <c r="O1957" i="1" a="1"/>
  <c r="O1957" i="1" s="1"/>
  <c r="N1957" i="1"/>
  <c r="M1957" i="1"/>
  <c r="O1956" i="1" a="1"/>
  <c r="O1956" i="1" s="1"/>
  <c r="N1956" i="1"/>
  <c r="M1956" i="1"/>
  <c r="O1955" i="1"/>
  <c r="O1955" i="1" a="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c r="O1949" i="1" a="1"/>
  <c r="N1949" i="1"/>
  <c r="M1949" i="1"/>
  <c r="O1948" i="1" a="1"/>
  <c r="O1948" i="1" s="1"/>
  <c r="N1948" i="1"/>
  <c r="M1948" i="1"/>
  <c r="O1947" i="1" a="1"/>
  <c r="O1947" i="1" s="1"/>
  <c r="N1947" i="1"/>
  <c r="M1947" i="1"/>
  <c r="O1946" i="1"/>
  <c r="O1946" i="1" a="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c r="O1940" i="1" a="1"/>
  <c r="N1940" i="1"/>
  <c r="M1940" i="1"/>
  <c r="O1939" i="1" a="1"/>
  <c r="O1939" i="1" s="1"/>
  <c r="N1939" i="1"/>
  <c r="M1939" i="1"/>
  <c r="O1938" i="1" a="1"/>
  <c r="O1938" i="1" s="1"/>
  <c r="N1938" i="1"/>
  <c r="M1938" i="1"/>
  <c r="O1937" i="1"/>
  <c r="O1937" i="1" a="1"/>
  <c r="N1937" i="1"/>
  <c r="M1937" i="1"/>
  <c r="O1936" i="1" a="1"/>
  <c r="O1936" i="1" s="1"/>
  <c r="N1936" i="1"/>
  <c r="M1936" i="1"/>
  <c r="O1935" i="1" a="1"/>
  <c r="O1935" i="1" s="1"/>
  <c r="N1935" i="1"/>
  <c r="M1935" i="1"/>
  <c r="O1934" i="1" a="1"/>
  <c r="O1934" i="1" s="1"/>
  <c r="N1934" i="1"/>
  <c r="M1934" i="1"/>
  <c r="O1933" i="1" a="1"/>
  <c r="O1933" i="1" s="1"/>
  <c r="N1933" i="1"/>
  <c r="M1933" i="1"/>
  <c r="O1932" i="1"/>
  <c r="O1932" i="1" a="1"/>
  <c r="N1932" i="1"/>
  <c r="M1932" i="1"/>
  <c r="O1931" i="1" a="1"/>
  <c r="O1931" i="1" s="1"/>
  <c r="N1931" i="1"/>
  <c r="M1931" i="1"/>
  <c r="O1930" i="1" a="1"/>
  <c r="O1930" i="1" s="1"/>
  <c r="N1930" i="1"/>
  <c r="M1930" i="1"/>
  <c r="O1929" i="1"/>
  <c r="O1929" i="1" a="1"/>
  <c r="N1929" i="1"/>
  <c r="M1929" i="1"/>
  <c r="O1928" i="1" a="1"/>
  <c r="O1928" i="1" s="1"/>
  <c r="N1928" i="1"/>
  <c r="M1928" i="1"/>
  <c r="O1927" i="1" a="1"/>
  <c r="O1927" i="1" s="1"/>
  <c r="N1927" i="1"/>
  <c r="M1927" i="1"/>
  <c r="O1926" i="1"/>
  <c r="O1926" i="1" a="1"/>
  <c r="N1926" i="1"/>
  <c r="M1926" i="1"/>
  <c r="O1925" i="1" a="1"/>
  <c r="O1925" i="1" s="1"/>
  <c r="N1925" i="1"/>
  <c r="M1925" i="1"/>
  <c r="O1924" i="1" a="1"/>
  <c r="O1924" i="1" s="1"/>
  <c r="N1924" i="1"/>
  <c r="M1924" i="1"/>
  <c r="O1923" i="1"/>
  <c r="O1923" i="1" a="1"/>
  <c r="N1923" i="1"/>
  <c r="M1923" i="1"/>
  <c r="O1922" i="1" a="1"/>
  <c r="O1922" i="1" s="1"/>
  <c r="N1922" i="1"/>
  <c r="M1922" i="1"/>
  <c r="O1921" i="1" a="1"/>
  <c r="O1921" i="1" s="1"/>
  <c r="N1921" i="1"/>
  <c r="M1921" i="1"/>
  <c r="O1920" i="1"/>
  <c r="O1920" i="1" a="1"/>
  <c r="N1920" i="1"/>
  <c r="M1920" i="1"/>
  <c r="O1919" i="1" a="1"/>
  <c r="O1919" i="1" s="1"/>
  <c r="N1919" i="1"/>
  <c r="M1919" i="1"/>
  <c r="O1918" i="1"/>
  <c r="O1918" i="1" a="1"/>
  <c r="N1918" i="1"/>
  <c r="M1918" i="1"/>
  <c r="O1917" i="1"/>
  <c r="O1917" i="1" a="1"/>
  <c r="N1917" i="1"/>
  <c r="M1917" i="1"/>
  <c r="O1916" i="1" a="1"/>
  <c r="O1916" i="1" s="1"/>
  <c r="N1916" i="1"/>
  <c r="M1916" i="1"/>
  <c r="O1915" i="1"/>
  <c r="O1915" i="1" a="1"/>
  <c r="N1915" i="1"/>
  <c r="M1915" i="1"/>
  <c r="O1914" i="1"/>
  <c r="O1914" i="1" a="1"/>
  <c r="N1914" i="1"/>
  <c r="M1914" i="1"/>
  <c r="O1913" i="1" a="1"/>
  <c r="O1913" i="1" s="1"/>
  <c r="N1913" i="1"/>
  <c r="M1913" i="1"/>
  <c r="O1912" i="1" a="1"/>
  <c r="O1912" i="1" s="1"/>
  <c r="N1912" i="1"/>
  <c r="M1912" i="1"/>
  <c r="O1911" i="1"/>
  <c r="O1911" i="1" a="1"/>
  <c r="N1911" i="1"/>
  <c r="M1911" i="1"/>
  <c r="O1910" i="1" a="1"/>
  <c r="O1910" i="1" s="1"/>
  <c r="N1910" i="1"/>
  <c r="M1910" i="1"/>
  <c r="O1909" i="1" a="1"/>
  <c r="O1909" i="1" s="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a="1"/>
  <c r="O1903" i="1" s="1"/>
  <c r="N1903" i="1"/>
  <c r="M1903" i="1"/>
  <c r="O1902" i="1"/>
  <c r="O1902" i="1" a="1"/>
  <c r="N1902" i="1"/>
  <c r="M1902" i="1"/>
  <c r="O1901" i="1" a="1"/>
  <c r="O1901" i="1" s="1"/>
  <c r="N1901" i="1"/>
  <c r="M1901" i="1"/>
  <c r="O1900" i="1"/>
  <c r="O1900" i="1" a="1"/>
  <c r="N1900" i="1"/>
  <c r="M1900" i="1"/>
  <c r="O1899" i="1"/>
  <c r="O1899" i="1" a="1"/>
  <c r="N1899" i="1"/>
  <c r="M1899" i="1"/>
  <c r="O1898" i="1" a="1"/>
  <c r="O1898" i="1" s="1"/>
  <c r="N1898" i="1"/>
  <c r="M1898" i="1"/>
  <c r="O1897" i="1" a="1"/>
  <c r="O1897" i="1" s="1"/>
  <c r="N1897" i="1"/>
  <c r="M1897" i="1"/>
  <c r="O1896" i="1"/>
  <c r="O1896" i="1" a="1"/>
  <c r="N1896" i="1"/>
  <c r="M1896" i="1"/>
  <c r="O1895" i="1" a="1"/>
  <c r="O1895" i="1" s="1"/>
  <c r="N1895" i="1"/>
  <c r="M1895" i="1"/>
  <c r="O1894" i="1" a="1"/>
  <c r="O1894" i="1" s="1"/>
  <c r="N1894" i="1"/>
  <c r="M1894" i="1"/>
  <c r="O1893" i="1"/>
  <c r="O1893" i="1" a="1"/>
  <c r="N1893" i="1"/>
  <c r="M1893" i="1"/>
  <c r="O1892" i="1" a="1"/>
  <c r="O1892" i="1" s="1"/>
  <c r="N1892" i="1"/>
  <c r="M1892" i="1"/>
  <c r="O1891" i="1" a="1"/>
  <c r="O1891" i="1" s="1"/>
  <c r="N1891" i="1"/>
  <c r="M1891" i="1"/>
  <c r="O1890" i="1"/>
  <c r="O1890" i="1" a="1"/>
  <c r="N1890" i="1"/>
  <c r="M1890" i="1"/>
  <c r="O1889" i="1" a="1"/>
  <c r="O1889" i="1" s="1"/>
  <c r="N1889" i="1"/>
  <c r="M1889" i="1"/>
  <c r="O1888" i="1" a="1"/>
  <c r="O1888" i="1" s="1"/>
  <c r="N1888" i="1"/>
  <c r="M1888" i="1"/>
  <c r="O1887" i="1" a="1"/>
  <c r="O1887" i="1" s="1"/>
  <c r="N1887" i="1"/>
  <c r="M1887" i="1"/>
  <c r="O1886" i="1" a="1"/>
  <c r="O1886" i="1" s="1"/>
  <c r="N1886" i="1"/>
  <c r="M1886" i="1"/>
  <c r="O1885" i="1"/>
  <c r="O1885" i="1" a="1"/>
  <c r="N1885" i="1"/>
  <c r="M1885" i="1"/>
  <c r="O1884" i="1" a="1"/>
  <c r="O1884" i="1" s="1"/>
  <c r="N1884" i="1"/>
  <c r="M1884" i="1"/>
  <c r="O1883" i="1" a="1"/>
  <c r="O1883" i="1" s="1"/>
  <c r="N1883" i="1"/>
  <c r="M1883" i="1"/>
  <c r="O1882" i="1"/>
  <c r="O1882" i="1" a="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c r="O1872" i="1" a="1"/>
  <c r="N1872" i="1"/>
  <c r="M1872" i="1"/>
  <c r="O1871" i="1" a="1"/>
  <c r="O1871" i="1" s="1"/>
  <c r="N1871" i="1"/>
  <c r="M1871" i="1"/>
  <c r="O1870" i="1" a="1"/>
  <c r="O1870" i="1" s="1"/>
  <c r="N1870" i="1"/>
  <c r="M1870" i="1"/>
  <c r="O1869" i="1"/>
  <c r="O1869" i="1" a="1"/>
  <c r="N1869" i="1"/>
  <c r="M1869" i="1"/>
  <c r="O1868" i="1" a="1"/>
  <c r="O1868" i="1" s="1"/>
  <c r="N1868" i="1"/>
  <c r="M1868" i="1"/>
  <c r="O1867" i="1"/>
  <c r="O1867" i="1" a="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a="1"/>
  <c r="O1835" i="1" s="1"/>
  <c r="N1835" i="1"/>
  <c r="M1835" i="1"/>
  <c r="O1834" i="1" a="1"/>
  <c r="O1834" i="1" s="1"/>
  <c r="N1834" i="1"/>
  <c r="M1834" i="1"/>
  <c r="O1833" i="1"/>
  <c r="O1833" i="1" a="1"/>
  <c r="N1833" i="1"/>
  <c r="M1833" i="1"/>
  <c r="O1832" i="1" a="1"/>
  <c r="O1832" i="1" s="1"/>
  <c r="N1832" i="1"/>
  <c r="M1832" i="1"/>
  <c r="O1831" i="1"/>
  <c r="O1831" i="1" a="1"/>
  <c r="N1831" i="1"/>
  <c r="M1831" i="1"/>
  <c r="O1830" i="1" a="1"/>
  <c r="O1830" i="1" s="1"/>
  <c r="N1830" i="1"/>
  <c r="M1830" i="1"/>
  <c r="O1829" i="1" a="1"/>
  <c r="O1829" i="1" s="1"/>
  <c r="N1829" i="1"/>
  <c r="M1829" i="1"/>
  <c r="O1828" i="1"/>
  <c r="O1828" i="1" a="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c r="O1818" i="1" a="1"/>
  <c r="N1818" i="1"/>
  <c r="M1818" i="1"/>
  <c r="O1817" i="1" a="1"/>
  <c r="O1817" i="1" s="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c r="O1810" i="1" a="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c r="O1803" i="1" a="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c r="O1797" i="1" a="1"/>
  <c r="N1797" i="1"/>
  <c r="M1797" i="1"/>
  <c r="O1796" i="1" a="1"/>
  <c r="O1796" i="1" s="1"/>
  <c r="N1796" i="1"/>
  <c r="M1796" i="1"/>
  <c r="O1795" i="1"/>
  <c r="O1795" i="1" a="1"/>
  <c r="N1795" i="1"/>
  <c r="M1795" i="1"/>
  <c r="O1794" i="1" a="1"/>
  <c r="O1794" i="1" s="1"/>
  <c r="N1794" i="1"/>
  <c r="M1794" i="1"/>
  <c r="O1793" i="1" a="1"/>
  <c r="O1793" i="1" s="1"/>
  <c r="N1793" i="1"/>
  <c r="M1793" i="1"/>
  <c r="O1792" i="1"/>
  <c r="O1792" i="1" a="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c r="O1782" i="1" a="1"/>
  <c r="N1782" i="1"/>
  <c r="M1782" i="1"/>
  <c r="O1781" i="1" a="1"/>
  <c r="O1781" i="1" s="1"/>
  <c r="N1781" i="1"/>
  <c r="M1781" i="1"/>
  <c r="O1780" i="1"/>
  <c r="O1780" i="1" a="1"/>
  <c r="N1780" i="1"/>
  <c r="M1780" i="1"/>
  <c r="O1779" i="1"/>
  <c r="O1779" i="1" a="1"/>
  <c r="N1779" i="1"/>
  <c r="M1779" i="1"/>
  <c r="O1778" i="1" a="1"/>
  <c r="O1778" i="1" s="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c r="O1767" i="1" a="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c r="O1761" i="1" a="1"/>
  <c r="N1761" i="1"/>
  <c r="M1761" i="1"/>
  <c r="O1760" i="1" a="1"/>
  <c r="O1760" i="1" s="1"/>
  <c r="N1760" i="1"/>
  <c r="M1760" i="1"/>
  <c r="O1759" i="1"/>
  <c r="O1759" i="1" a="1"/>
  <c r="N1759" i="1"/>
  <c r="M1759" i="1"/>
  <c r="O1758" i="1" a="1"/>
  <c r="O1758" i="1" s="1"/>
  <c r="N1758" i="1"/>
  <c r="M1758" i="1"/>
  <c r="O1757" i="1" a="1"/>
  <c r="O1757" i="1" s="1"/>
  <c r="N1757" i="1"/>
  <c r="M1757" i="1"/>
  <c r="O1756" i="1"/>
  <c r="O1756" i="1" a="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c r="O1746" i="1" a="1"/>
  <c r="N1746" i="1"/>
  <c r="M1746" i="1"/>
  <c r="O1745" i="1" a="1"/>
  <c r="O1745" i="1" s="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a="1"/>
  <c r="O1739" i="1" s="1"/>
  <c r="N1739" i="1"/>
  <c r="M1739" i="1"/>
  <c r="O1738" i="1"/>
  <c r="O1738" i="1" a="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c r="O1725" i="1" a="1"/>
  <c r="N1725" i="1"/>
  <c r="M1725" i="1"/>
  <c r="O1724" i="1" a="1"/>
  <c r="O1724" i="1" s="1"/>
  <c r="N1724" i="1"/>
  <c r="M1724" i="1"/>
  <c r="O1723" i="1"/>
  <c r="O1723" i="1" a="1"/>
  <c r="N1723" i="1"/>
  <c r="M1723" i="1"/>
  <c r="O1722" i="1" a="1"/>
  <c r="O1722" i="1" s="1"/>
  <c r="N1722" i="1"/>
  <c r="M1722" i="1"/>
  <c r="O1721" i="1" a="1"/>
  <c r="O1721" i="1" s="1"/>
  <c r="N1721" i="1"/>
  <c r="M1721" i="1"/>
  <c r="O1720" i="1"/>
  <c r="O1720" i="1" a="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c r="O1710" i="1" a="1"/>
  <c r="N1710" i="1"/>
  <c r="M1710" i="1"/>
  <c r="O1709" i="1" a="1"/>
  <c r="O1709" i="1" s="1"/>
  <c r="N1709" i="1"/>
  <c r="M1709" i="1"/>
  <c r="O1708" i="1"/>
  <c r="O1708" i="1" a="1"/>
  <c r="N1708" i="1"/>
  <c r="M1708" i="1"/>
  <c r="O1707" i="1"/>
  <c r="O1707" i="1" a="1"/>
  <c r="N1707" i="1"/>
  <c r="M1707" i="1"/>
  <c r="O1706" i="1" a="1"/>
  <c r="O1706" i="1" s="1"/>
  <c r="N1706" i="1"/>
  <c r="M1706" i="1"/>
  <c r="O1705" i="1"/>
  <c r="O1705" i="1" a="1"/>
  <c r="N1705" i="1"/>
  <c r="M1705" i="1"/>
  <c r="O1704" i="1" a="1"/>
  <c r="O1704" i="1" s="1"/>
  <c r="N1704" i="1"/>
  <c r="M1704" i="1"/>
  <c r="O1703" i="1" a="1"/>
  <c r="O1703" i="1" s="1"/>
  <c r="N1703" i="1"/>
  <c r="M1703" i="1"/>
  <c r="O1702" i="1"/>
  <c r="O1702" i="1" a="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c r="O1689" i="1" a="1"/>
  <c r="N1689" i="1"/>
  <c r="M1689" i="1"/>
  <c r="O1688" i="1" a="1"/>
  <c r="O1688" i="1" s="1"/>
  <c r="N1688" i="1"/>
  <c r="M1688" i="1"/>
  <c r="O1687" i="1" a="1"/>
  <c r="O1687" i="1" s="1"/>
  <c r="N1687" i="1"/>
  <c r="M1687" i="1"/>
  <c r="O1686" i="1"/>
  <c r="O1686" i="1" a="1"/>
  <c r="N1686" i="1"/>
  <c r="M1686" i="1"/>
  <c r="O1685" i="1" a="1"/>
  <c r="O1685" i="1" s="1"/>
  <c r="N1685" i="1"/>
  <c r="M1685" i="1"/>
  <c r="O1684" i="1" a="1"/>
  <c r="O1684" i="1" s="1"/>
  <c r="N1684" i="1"/>
  <c r="M1684" i="1"/>
  <c r="O1683" i="1"/>
  <c r="O1683" i="1" a="1"/>
  <c r="N1683" i="1"/>
  <c r="M1683" i="1"/>
  <c r="O1682" i="1" a="1"/>
  <c r="O1682" i="1" s="1"/>
  <c r="N1682" i="1"/>
  <c r="M1682" i="1"/>
  <c r="O1681" i="1" a="1"/>
  <c r="O1681" i="1" s="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c r="O1674" i="1" a="1"/>
  <c r="N1674" i="1"/>
  <c r="M1674" i="1"/>
  <c r="O1673" i="1" a="1"/>
  <c r="O1673" i="1" s="1"/>
  <c r="N1673" i="1"/>
  <c r="M1673" i="1"/>
  <c r="O1672" i="1" a="1"/>
  <c r="O1672" i="1" s="1"/>
  <c r="N1672" i="1"/>
  <c r="M1672" i="1"/>
  <c r="O1671" i="1"/>
  <c r="O1671" i="1" a="1"/>
  <c r="N1671" i="1"/>
  <c r="M1671" i="1"/>
  <c r="O1670" i="1" a="1"/>
  <c r="O1670" i="1" s="1"/>
  <c r="N1670" i="1"/>
  <c r="M1670" i="1"/>
  <c r="O1669" i="1" a="1"/>
  <c r="O1669" i="1" s="1"/>
  <c r="N1669" i="1"/>
  <c r="M1669" i="1"/>
  <c r="O1668" i="1"/>
  <c r="O1668" i="1" a="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c r="O1656" i="1" a="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c r="O1602" i="1" a="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c r="O1584" i="1" a="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c r="O1566" i="1" a="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c r="O1548" i="1" a="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c r="O1530" i="1" a="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c r="O1494" i="1" a="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c r="O1476" i="1" a="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c r="O1470" i="1" a="1"/>
  <c r="N1470" i="1"/>
  <c r="M1470" i="1"/>
  <c r="O1469" i="1"/>
  <c r="O1469" i="1" a="1"/>
  <c r="N1469" i="1"/>
  <c r="M1469" i="1"/>
  <c r="O1468" i="1" a="1"/>
  <c r="O1468" i="1" s="1"/>
  <c r="N1468" i="1"/>
  <c r="M1468" i="1"/>
  <c r="O1467" i="1"/>
  <c r="O1467" i="1" a="1"/>
  <c r="N1467" i="1"/>
  <c r="M1467" i="1"/>
  <c r="O1466" i="1"/>
  <c r="O1466" i="1" a="1"/>
  <c r="N1466" i="1"/>
  <c r="M1466" i="1"/>
  <c r="O1465" i="1" a="1"/>
  <c r="O1465" i="1" s="1"/>
  <c r="N1465" i="1"/>
  <c r="M1465" i="1"/>
  <c r="O1464" i="1"/>
  <c r="O1464" i="1" a="1"/>
  <c r="N1464" i="1"/>
  <c r="M1464" i="1"/>
  <c r="O1463" i="1"/>
  <c r="O1463" i="1" a="1"/>
  <c r="N1463" i="1"/>
  <c r="M1463" i="1"/>
  <c r="O1462" i="1" a="1"/>
  <c r="O1462" i="1" s="1"/>
  <c r="N1462" i="1"/>
  <c r="M1462" i="1"/>
  <c r="O1461" i="1" a="1"/>
  <c r="O1461" i="1" s="1"/>
  <c r="N1461" i="1"/>
  <c r="M1461" i="1"/>
  <c r="O1460" i="1"/>
  <c r="O1460" i="1" a="1"/>
  <c r="N1460" i="1"/>
  <c r="M1460" i="1"/>
  <c r="O1459" i="1" a="1"/>
  <c r="O1459" i="1" s="1"/>
  <c r="N1459" i="1"/>
  <c r="M1459" i="1"/>
  <c r="O1458" i="1" a="1"/>
  <c r="O1458" i="1" s="1"/>
  <c r="N1458" i="1"/>
  <c r="M1458" i="1"/>
  <c r="O1457" i="1"/>
  <c r="O1457" i="1" a="1"/>
  <c r="N1457" i="1"/>
  <c r="M1457" i="1"/>
  <c r="O1456" i="1" a="1"/>
  <c r="O1456" i="1" s="1"/>
  <c r="N1456" i="1"/>
  <c r="M1456" i="1"/>
  <c r="O1455" i="1" a="1"/>
  <c r="O1455" i="1" s="1"/>
  <c r="N1455" i="1"/>
  <c r="M1455" i="1"/>
  <c r="O1454" i="1"/>
  <c r="O1454" i="1" a="1"/>
  <c r="N1454" i="1"/>
  <c r="M1454" i="1"/>
  <c r="O1453" i="1" a="1"/>
  <c r="O1453" i="1" s="1"/>
  <c r="N1453" i="1"/>
  <c r="M1453" i="1"/>
  <c r="O1452" i="1" a="1"/>
  <c r="O1452" i="1" s="1"/>
  <c r="N1452" i="1"/>
  <c r="M1452" i="1"/>
  <c r="O1451" i="1"/>
  <c r="O1451" i="1" a="1"/>
  <c r="N1451" i="1"/>
  <c r="M1451" i="1"/>
  <c r="O1450" i="1" a="1"/>
  <c r="O1450" i="1" s="1"/>
  <c r="N1450" i="1"/>
  <c r="M1450" i="1"/>
  <c r="O1449" i="1" a="1"/>
  <c r="O1449" i="1" s="1"/>
  <c r="N1449" i="1"/>
  <c r="M1449" i="1"/>
  <c r="O1448" i="1"/>
  <c r="O1448" i="1" a="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c r="O1217" i="1" a="1"/>
  <c r="N1217" i="1"/>
  <c r="M1217" i="1"/>
  <c r="O1216" i="1" a="1"/>
  <c r="O1216" i="1" s="1"/>
  <c r="N1216" i="1"/>
  <c r="M1216" i="1"/>
  <c r="O1215" i="1" a="1"/>
  <c r="O1215" i="1" s="1"/>
  <c r="N1215" i="1"/>
  <c r="M1215" i="1"/>
  <c r="O1214" i="1"/>
  <c r="O1214" i="1" a="1"/>
  <c r="N1214" i="1"/>
  <c r="M1214" i="1"/>
  <c r="O1213" i="1" a="1"/>
  <c r="O1213" i="1" s="1"/>
  <c r="N1213" i="1"/>
  <c r="M1213" i="1"/>
  <c r="O1212" i="1" a="1"/>
  <c r="O1212" i="1" s="1"/>
  <c r="N1212" i="1"/>
  <c r="M1212" i="1"/>
  <c r="O1211" i="1" a="1"/>
  <c r="O1211" i="1" s="1"/>
  <c r="N1211" i="1"/>
  <c r="M1211" i="1"/>
  <c r="O1210" i="1"/>
  <c r="O1210" i="1" a="1"/>
  <c r="N1210" i="1"/>
  <c r="M1210" i="1"/>
  <c r="O1209" i="1" a="1"/>
  <c r="O1209" i="1" s="1"/>
  <c r="N1209" i="1"/>
  <c r="M1209" i="1"/>
  <c r="O1208" i="1"/>
  <c r="O1208" i="1" a="1"/>
  <c r="N1208" i="1"/>
  <c r="M1208" i="1"/>
  <c r="O1207" i="1"/>
  <c r="O1207" i="1" a="1"/>
  <c r="N1207" i="1"/>
  <c r="M1207" i="1"/>
  <c r="O1206" i="1" a="1"/>
  <c r="O1206" i="1" s="1"/>
  <c r="N1206" i="1"/>
  <c r="M1206" i="1"/>
  <c r="O1205" i="1"/>
  <c r="O1205" i="1" a="1"/>
  <c r="N1205" i="1"/>
  <c r="M1205" i="1"/>
  <c r="O1204" i="1"/>
  <c r="O1204" i="1" a="1"/>
  <c r="N1204" i="1"/>
  <c r="M1204" i="1"/>
  <c r="O1203" i="1" a="1"/>
  <c r="O1203" i="1" s="1"/>
  <c r="N1203" i="1"/>
  <c r="M1203" i="1"/>
  <c r="O1202" i="1" a="1"/>
  <c r="O1202" i="1" s="1"/>
  <c r="N1202" i="1"/>
  <c r="M1202" i="1"/>
  <c r="O1201" i="1"/>
  <c r="O1201" i="1" a="1"/>
  <c r="N1201" i="1"/>
  <c r="M1201" i="1"/>
  <c r="O1200" i="1" a="1"/>
  <c r="O1200" i="1" s="1"/>
  <c r="N1200" i="1"/>
  <c r="M1200" i="1"/>
  <c r="O1199" i="1"/>
  <c r="O1199" i="1" a="1"/>
  <c r="N1199" i="1"/>
  <c r="M1199" i="1"/>
  <c r="O1198" i="1"/>
  <c r="O1198" i="1" a="1"/>
  <c r="N1198" i="1"/>
  <c r="M1198" i="1"/>
  <c r="O1197" i="1" a="1"/>
  <c r="O1197" i="1" s="1"/>
  <c r="N1197" i="1"/>
  <c r="M1197" i="1"/>
  <c r="O1196" i="1"/>
  <c r="O1196" i="1" a="1"/>
  <c r="N1196" i="1"/>
  <c r="M1196" i="1"/>
  <c r="O1195" i="1"/>
  <c r="O1195" i="1" a="1"/>
  <c r="N1195" i="1"/>
  <c r="M1195" i="1"/>
  <c r="O1194" i="1" a="1"/>
  <c r="O1194" i="1" s="1"/>
  <c r="N1194" i="1"/>
  <c r="M1194" i="1"/>
  <c r="O1193" i="1" a="1"/>
  <c r="O1193" i="1" s="1"/>
  <c r="N1193" i="1"/>
  <c r="M1193" i="1"/>
  <c r="O1192" i="1"/>
  <c r="O1192" i="1" a="1"/>
  <c r="N1192" i="1"/>
  <c r="M1192" i="1"/>
  <c r="O1191" i="1" a="1"/>
  <c r="O1191" i="1" s="1"/>
  <c r="N1191" i="1"/>
  <c r="M1191" i="1"/>
  <c r="O1190" i="1"/>
  <c r="O1190" i="1" a="1"/>
  <c r="N1190" i="1"/>
  <c r="M1190" i="1"/>
  <c r="O1189" i="1"/>
  <c r="O1189" i="1" a="1"/>
  <c r="N1189" i="1"/>
  <c r="M1189" i="1"/>
  <c r="O1188" i="1" a="1"/>
  <c r="O1188" i="1" s="1"/>
  <c r="N1188" i="1"/>
  <c r="M1188" i="1"/>
  <c r="O1187" i="1"/>
  <c r="O1187" i="1" a="1"/>
  <c r="N1187" i="1"/>
  <c r="M1187" i="1"/>
  <c r="O1186" i="1"/>
  <c r="O1186" i="1" a="1"/>
  <c r="N1186" i="1"/>
  <c r="M1186" i="1"/>
  <c r="O1185" i="1" a="1"/>
  <c r="O1185" i="1" s="1"/>
  <c r="N1185" i="1"/>
  <c r="M1185" i="1"/>
  <c r="O1184" i="1" a="1"/>
  <c r="O1184" i="1" s="1"/>
  <c r="N1184" i="1"/>
  <c r="M1184" i="1"/>
  <c r="O1183" i="1"/>
  <c r="O1183" i="1" a="1"/>
  <c r="N1183" i="1"/>
  <c r="M1183" i="1"/>
  <c r="O1182" i="1" a="1"/>
  <c r="O1182" i="1" s="1"/>
  <c r="N1182" i="1"/>
  <c r="M1182" i="1"/>
  <c r="O1181" i="1"/>
  <c r="O1181" i="1" a="1"/>
  <c r="N1181" i="1"/>
  <c r="M1181" i="1"/>
  <c r="O1180" i="1" a="1"/>
  <c r="O1180" i="1" s="1"/>
  <c r="N1180" i="1"/>
  <c r="M1180" i="1"/>
  <c r="O1179" i="1" a="1"/>
  <c r="O1179" i="1" s="1"/>
  <c r="N1179" i="1"/>
  <c r="M1179" i="1"/>
  <c r="O1178" i="1"/>
  <c r="O1178" i="1" a="1"/>
  <c r="N1178" i="1"/>
  <c r="M1178" i="1"/>
  <c r="O1177" i="1"/>
  <c r="O1177" i="1" a="1"/>
  <c r="N1177" i="1"/>
  <c r="M1177" i="1"/>
  <c r="O1176" i="1" a="1"/>
  <c r="O1176" i="1" s="1"/>
  <c r="N1176" i="1"/>
  <c r="M1176" i="1"/>
  <c r="O1175" i="1" a="1"/>
  <c r="O1175" i="1" s="1"/>
  <c r="N1175" i="1"/>
  <c r="M1175" i="1"/>
  <c r="O1174" i="1"/>
  <c r="O1174" i="1" a="1"/>
  <c r="N1174" i="1"/>
  <c r="M1174" i="1"/>
  <c r="O1173" i="1" a="1"/>
  <c r="O1173" i="1" s="1"/>
  <c r="N1173" i="1"/>
  <c r="M1173" i="1"/>
  <c r="O1172" i="1"/>
  <c r="O1172" i="1" a="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c r="O1163" i="1" a="1"/>
  <c r="N1163" i="1"/>
  <c r="M1163" i="1"/>
  <c r="O1162" i="1" a="1"/>
  <c r="O1162" i="1" s="1"/>
  <c r="N1162" i="1"/>
  <c r="M1162" i="1"/>
  <c r="O1161" i="1" a="1"/>
  <c r="O1161" i="1" s="1"/>
  <c r="N1161" i="1"/>
  <c r="M1161" i="1"/>
  <c r="O1160" i="1"/>
  <c r="O1160" i="1" a="1"/>
  <c r="N1160" i="1"/>
  <c r="M1160" i="1"/>
  <c r="O1159" i="1"/>
  <c r="O1159" i="1" a="1"/>
  <c r="N1159" i="1"/>
  <c r="M1159" i="1"/>
  <c r="O1158" i="1" a="1"/>
  <c r="O1158" i="1" s="1"/>
  <c r="N1158" i="1"/>
  <c r="M1158" i="1"/>
  <c r="O1157" i="1" a="1"/>
  <c r="O1157" i="1" s="1"/>
  <c r="N1157" i="1"/>
  <c r="M1157" i="1"/>
  <c r="O1156" i="1"/>
  <c r="O1156" i="1" a="1"/>
  <c r="N1156" i="1"/>
  <c r="M1156" i="1"/>
  <c r="O1155" i="1" a="1"/>
  <c r="O1155" i="1" s="1"/>
  <c r="N1155" i="1"/>
  <c r="M1155" i="1"/>
  <c r="O1154" i="1"/>
  <c r="O1154" i="1" a="1"/>
  <c r="N1154" i="1"/>
  <c r="M1154" i="1"/>
  <c r="O1153" i="1" a="1"/>
  <c r="O1153" i="1" s="1"/>
  <c r="N1153" i="1"/>
  <c r="M1153" i="1"/>
  <c r="O1152" i="1" a="1"/>
  <c r="O1152" i="1" s="1"/>
  <c r="N1152" i="1"/>
  <c r="M1152" i="1"/>
  <c r="O1151" i="1"/>
  <c r="O1151" i="1" a="1"/>
  <c r="N1151" i="1"/>
  <c r="M1151" i="1"/>
  <c r="O1150" i="1"/>
  <c r="O1150" i="1" a="1"/>
  <c r="N1150" i="1"/>
  <c r="M1150" i="1"/>
  <c r="O1149" i="1" a="1"/>
  <c r="O1149" i="1" s="1"/>
  <c r="N1149" i="1"/>
  <c r="M1149" i="1"/>
  <c r="O1148" i="1" a="1"/>
  <c r="O1148" i="1" s="1"/>
  <c r="N1148" i="1"/>
  <c r="M1148" i="1"/>
  <c r="O1147" i="1"/>
  <c r="O1147" i="1" a="1"/>
  <c r="N1147" i="1"/>
  <c r="M1147" i="1"/>
  <c r="O1146" i="1" a="1"/>
  <c r="O1146" i="1" s="1"/>
  <c r="N1146" i="1"/>
  <c r="M1146" i="1"/>
  <c r="O1145" i="1"/>
  <c r="O1145" i="1" a="1"/>
  <c r="N1145" i="1"/>
  <c r="M1145" i="1"/>
  <c r="O1144" i="1" a="1"/>
  <c r="O1144" i="1" s="1"/>
  <c r="N1144" i="1"/>
  <c r="M1144" i="1"/>
  <c r="O1143" i="1" a="1"/>
  <c r="O1143" i="1" s="1"/>
  <c r="N1143" i="1"/>
  <c r="M1143" i="1"/>
  <c r="O1142" i="1"/>
  <c r="O1142" i="1" a="1"/>
  <c r="N1142" i="1"/>
  <c r="M1142" i="1"/>
  <c r="O1141" i="1"/>
  <c r="O1141" i="1" a="1"/>
  <c r="N1141" i="1"/>
  <c r="M1141" i="1"/>
  <c r="O1140" i="1" a="1"/>
  <c r="O1140" i="1" s="1"/>
  <c r="N1140" i="1"/>
  <c r="M1140" i="1"/>
  <c r="O1139" i="1" a="1"/>
  <c r="O1139" i="1" s="1"/>
  <c r="N1139" i="1"/>
  <c r="M1139" i="1"/>
  <c r="O1138" i="1"/>
  <c r="O1138" i="1" a="1"/>
  <c r="N1138" i="1"/>
  <c r="M1138" i="1"/>
  <c r="O1137" i="1" a="1"/>
  <c r="O1137" i="1" s="1"/>
  <c r="N1137" i="1"/>
  <c r="M1137" i="1"/>
  <c r="O1136" i="1"/>
  <c r="O1136" i="1" a="1"/>
  <c r="N1136" i="1"/>
  <c r="M1136" i="1"/>
  <c r="O1135" i="1" a="1"/>
  <c r="O1135" i="1" s="1"/>
  <c r="N1135" i="1"/>
  <c r="M1135" i="1"/>
  <c r="O1134" i="1" a="1"/>
  <c r="O1134" i="1" s="1"/>
  <c r="N1134" i="1"/>
  <c r="M1134" i="1"/>
  <c r="O1133" i="1"/>
  <c r="O1133" i="1" a="1"/>
  <c r="N1133" i="1"/>
  <c r="M1133" i="1"/>
  <c r="O1132" i="1"/>
  <c r="O1132" i="1" a="1"/>
  <c r="N1132" i="1"/>
  <c r="M1132" i="1"/>
  <c r="O1131" i="1" a="1"/>
  <c r="O1131" i="1" s="1"/>
  <c r="N1131" i="1"/>
  <c r="M1131" i="1"/>
  <c r="O1130" i="1" a="1"/>
  <c r="O1130" i="1" s="1"/>
  <c r="N1130" i="1"/>
  <c r="M1130" i="1"/>
  <c r="O1129" i="1"/>
  <c r="O1129" i="1" a="1"/>
  <c r="N1129" i="1"/>
  <c r="M1129" i="1"/>
  <c r="O1128" i="1" a="1"/>
  <c r="O1128" i="1" s="1"/>
  <c r="N1128" i="1"/>
  <c r="M1128" i="1"/>
  <c r="O1127" i="1"/>
  <c r="O1127" i="1" a="1"/>
  <c r="N1127" i="1"/>
  <c r="M1127" i="1"/>
  <c r="O1126" i="1" a="1"/>
  <c r="O1126" i="1" s="1"/>
  <c r="N1126" i="1"/>
  <c r="M1126" i="1"/>
  <c r="O1125" i="1" a="1"/>
  <c r="O1125" i="1" s="1"/>
  <c r="N1125" i="1"/>
  <c r="M1125" i="1"/>
  <c r="O1124" i="1"/>
  <c r="O1124" i="1" a="1"/>
  <c r="N1124" i="1"/>
  <c r="M1124" i="1"/>
  <c r="O1123" i="1"/>
  <c r="O1123" i="1" a="1"/>
  <c r="N1123" i="1"/>
  <c r="M1123" i="1"/>
  <c r="O1122" i="1" a="1"/>
  <c r="O1122" i="1" s="1"/>
  <c r="N1122" i="1"/>
  <c r="M1122" i="1"/>
  <c r="O1121" i="1" a="1"/>
  <c r="O1121" i="1" s="1"/>
  <c r="N1121" i="1"/>
  <c r="M1121" i="1"/>
  <c r="O1120" i="1"/>
  <c r="O1120" i="1" a="1"/>
  <c r="N1120" i="1"/>
  <c r="M1120" i="1"/>
  <c r="O1119" i="1" a="1"/>
  <c r="O1119" i="1" s="1"/>
  <c r="N1119" i="1"/>
  <c r="M1119" i="1"/>
  <c r="O1118" i="1"/>
  <c r="O1118" i="1" a="1"/>
  <c r="N1118" i="1"/>
  <c r="M1118" i="1"/>
  <c r="O1117" i="1" a="1"/>
  <c r="O1117" i="1" s="1"/>
  <c r="N1117" i="1"/>
  <c r="M1117" i="1"/>
  <c r="O1116" i="1" a="1"/>
  <c r="O1116" i="1" s="1"/>
  <c r="N1116" i="1"/>
  <c r="M1116" i="1"/>
  <c r="O1115" i="1"/>
  <c r="O1115" i="1" a="1"/>
  <c r="N1115" i="1"/>
  <c r="M1115" i="1"/>
  <c r="O1114" i="1"/>
  <c r="O1114" i="1" a="1"/>
  <c r="N1114" i="1"/>
  <c r="M1114" i="1"/>
  <c r="O1113" i="1" a="1"/>
  <c r="O1113" i="1" s="1"/>
  <c r="N1113" i="1"/>
  <c r="M1113" i="1"/>
  <c r="O1112" i="1" a="1"/>
  <c r="O1112" i="1" s="1"/>
  <c r="N1112" i="1"/>
  <c r="M1112" i="1"/>
  <c r="O1111" i="1"/>
  <c r="O1111" i="1" a="1"/>
  <c r="N1111" i="1"/>
  <c r="M1111" i="1"/>
  <c r="O1110" i="1" a="1"/>
  <c r="O1110" i="1" s="1"/>
  <c r="N1110" i="1"/>
  <c r="M1110" i="1"/>
  <c r="O1109" i="1"/>
  <c r="O1109" i="1" a="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c r="O1102" i="1" a="1"/>
  <c r="N1102" i="1"/>
  <c r="M1102" i="1"/>
  <c r="O1101" i="1" a="1"/>
  <c r="O1101" i="1" s="1"/>
  <c r="N1101" i="1"/>
  <c r="M1101" i="1"/>
  <c r="O1100" i="1"/>
  <c r="O1100" i="1" a="1"/>
  <c r="N1100" i="1"/>
  <c r="M1100" i="1"/>
  <c r="O1099" i="1" a="1"/>
  <c r="O1099" i="1" s="1"/>
  <c r="N1099" i="1"/>
  <c r="M1099" i="1"/>
  <c r="O1098" i="1" a="1"/>
  <c r="O1098" i="1" s="1"/>
  <c r="N1098" i="1"/>
  <c r="M1098" i="1"/>
  <c r="O1097" i="1"/>
  <c r="O1097" i="1" a="1"/>
  <c r="N1097" i="1"/>
  <c r="M1097" i="1"/>
  <c r="O1096" i="1"/>
  <c r="O1096" i="1" a="1"/>
  <c r="N1096" i="1"/>
  <c r="M1096" i="1"/>
  <c r="O1095" i="1" a="1"/>
  <c r="O1095" i="1" s="1"/>
  <c r="N1095" i="1"/>
  <c r="M1095" i="1"/>
  <c r="O1094" i="1" a="1"/>
  <c r="O1094" i="1" s="1"/>
  <c r="N1094" i="1"/>
  <c r="M1094" i="1"/>
  <c r="O1093" i="1"/>
  <c r="O1093" i="1" a="1"/>
  <c r="N1093" i="1"/>
  <c r="M1093" i="1"/>
  <c r="O1092" i="1" a="1"/>
  <c r="O1092" i="1" s="1"/>
  <c r="N1092" i="1"/>
  <c r="M1092" i="1"/>
  <c r="O1091" i="1"/>
  <c r="O1091" i="1" a="1"/>
  <c r="N1091" i="1"/>
  <c r="M1091" i="1"/>
  <c r="O1090" i="1" a="1"/>
  <c r="O1090" i="1" s="1"/>
  <c r="N1090" i="1"/>
  <c r="M1090" i="1"/>
  <c r="O1089" i="1" a="1"/>
  <c r="O1089" i="1" s="1"/>
  <c r="N1089" i="1"/>
  <c r="M1089" i="1"/>
  <c r="O1088" i="1"/>
  <c r="O1088" i="1" a="1"/>
  <c r="N1088" i="1"/>
  <c r="M1088" i="1"/>
  <c r="O1087" i="1"/>
  <c r="O1087" i="1" a="1"/>
  <c r="N1087" i="1"/>
  <c r="M1087" i="1"/>
  <c r="O1086" i="1" a="1"/>
  <c r="O1086" i="1" s="1"/>
  <c r="N1086" i="1"/>
  <c r="M1086" i="1"/>
  <c r="O1085" i="1" a="1"/>
  <c r="O1085" i="1" s="1"/>
  <c r="N1085" i="1"/>
  <c r="M1085" i="1"/>
  <c r="O1084" i="1"/>
  <c r="O1084" i="1" a="1"/>
  <c r="N1084" i="1"/>
  <c r="M1084" i="1"/>
  <c r="O1083" i="1" a="1"/>
  <c r="O1083" i="1" s="1"/>
  <c r="N1083" i="1"/>
  <c r="M1083" i="1"/>
  <c r="O1082" i="1"/>
  <c r="O1082" i="1" a="1"/>
  <c r="N1082" i="1"/>
  <c r="M1082" i="1"/>
  <c r="O1081" i="1" a="1"/>
  <c r="O1081" i="1" s="1"/>
  <c r="N1081" i="1"/>
  <c r="M1081" i="1"/>
  <c r="O1080" i="1" a="1"/>
  <c r="O1080" i="1" s="1"/>
  <c r="N1080" i="1"/>
  <c r="M1080" i="1"/>
  <c r="O1079" i="1"/>
  <c r="O1079" i="1" a="1"/>
  <c r="N1079" i="1"/>
  <c r="M1079" i="1"/>
  <c r="O1078" i="1"/>
  <c r="O1078" i="1" a="1"/>
  <c r="N1078" i="1"/>
  <c r="M1078" i="1"/>
  <c r="O1077" i="1" a="1"/>
  <c r="O1077" i="1" s="1"/>
  <c r="N1077" i="1"/>
  <c r="M1077" i="1"/>
  <c r="O1076" i="1" a="1"/>
  <c r="O1076" i="1" s="1"/>
  <c r="N1076" i="1"/>
  <c r="M1076" i="1"/>
  <c r="O1075" i="1"/>
  <c r="O1075" i="1" a="1"/>
  <c r="N1075" i="1"/>
  <c r="M1075" i="1"/>
  <c r="O1074" i="1" a="1"/>
  <c r="O1074" i="1" s="1"/>
  <c r="N1074" i="1"/>
  <c r="M1074" i="1"/>
  <c r="O1073" i="1"/>
  <c r="O1073" i="1" a="1"/>
  <c r="N1073" i="1"/>
  <c r="M1073" i="1"/>
  <c r="O1072" i="1" a="1"/>
  <c r="O1072" i="1" s="1"/>
  <c r="N1072" i="1"/>
  <c r="M1072" i="1"/>
  <c r="O1071" i="1" a="1"/>
  <c r="O1071" i="1" s="1"/>
  <c r="N1071" i="1"/>
  <c r="M1071" i="1"/>
  <c r="O1070" i="1"/>
  <c r="O1070" i="1" a="1"/>
  <c r="N1070" i="1"/>
  <c r="M1070" i="1"/>
  <c r="O1069" i="1"/>
  <c r="O1069" i="1" a="1"/>
  <c r="N1069" i="1"/>
  <c r="M1069" i="1"/>
  <c r="O1068" i="1" a="1"/>
  <c r="O1068" i="1" s="1"/>
  <c r="N1068" i="1"/>
  <c r="M1068" i="1"/>
  <c r="O1067" i="1" a="1"/>
  <c r="O1067" i="1" s="1"/>
  <c r="N1067" i="1"/>
  <c r="M1067" i="1"/>
  <c r="O1066" i="1"/>
  <c r="O1066" i="1" a="1"/>
  <c r="N1066" i="1"/>
  <c r="M1066" i="1"/>
  <c r="O1065" i="1" a="1"/>
  <c r="O1065" i="1" s="1"/>
  <c r="N1065" i="1"/>
  <c r="M1065" i="1"/>
  <c r="O1064" i="1"/>
  <c r="O1064" i="1" a="1"/>
  <c r="N1064" i="1"/>
  <c r="M1064" i="1"/>
  <c r="O1063" i="1" a="1"/>
  <c r="O1063" i="1" s="1"/>
  <c r="N1063" i="1"/>
  <c r="M1063" i="1"/>
  <c r="O1062" i="1" a="1"/>
  <c r="O1062" i="1" s="1"/>
  <c r="N1062" i="1"/>
  <c r="M1062" i="1"/>
  <c r="O1061" i="1"/>
  <c r="O1061" i="1" a="1"/>
  <c r="N1061" i="1"/>
  <c r="M1061" i="1"/>
  <c r="O1060" i="1"/>
  <c r="O1060" i="1" a="1"/>
  <c r="N1060" i="1"/>
  <c r="M1060" i="1"/>
  <c r="O1059" i="1" a="1"/>
  <c r="O1059" i="1" s="1"/>
  <c r="N1059" i="1"/>
  <c r="M1059" i="1"/>
  <c r="O1058" i="1" a="1"/>
  <c r="O1058" i="1" s="1"/>
  <c r="N1058" i="1"/>
  <c r="M1058" i="1"/>
  <c r="O1057" i="1"/>
  <c r="O1057" i="1" a="1"/>
  <c r="N1057" i="1"/>
  <c r="M1057" i="1"/>
  <c r="O1056" i="1" a="1"/>
  <c r="O1056" i="1" s="1"/>
  <c r="N1056" i="1"/>
  <c r="M1056" i="1"/>
  <c r="O1055" i="1"/>
  <c r="O1055" i="1" a="1"/>
  <c r="N1055" i="1"/>
  <c r="M1055" i="1"/>
  <c r="O1054" i="1" a="1"/>
  <c r="O1054" i="1" s="1"/>
  <c r="N1054" i="1"/>
  <c r="M1054" i="1"/>
  <c r="O1053" i="1" a="1"/>
  <c r="O1053" i="1" s="1"/>
  <c r="N1053" i="1"/>
  <c r="M1053" i="1"/>
  <c r="O1052" i="1"/>
  <c r="O1052" i="1" a="1"/>
  <c r="N1052" i="1"/>
  <c r="M1052" i="1"/>
  <c r="O1051" i="1"/>
  <c r="O1051" i="1" a="1"/>
  <c r="N1051" i="1"/>
  <c r="M1051" i="1"/>
  <c r="O1050" i="1" a="1"/>
  <c r="O1050" i="1" s="1"/>
  <c r="N1050" i="1"/>
  <c r="M1050" i="1"/>
  <c r="O1049" i="1" a="1"/>
  <c r="O1049" i="1" s="1"/>
  <c r="N1049" i="1"/>
  <c r="M1049" i="1"/>
  <c r="O1048" i="1"/>
  <c r="O1048" i="1" a="1"/>
  <c r="N1048" i="1"/>
  <c r="M1048" i="1"/>
  <c r="O1047" i="1" a="1"/>
  <c r="O1047" i="1" s="1"/>
  <c r="N1047" i="1"/>
  <c r="M1047" i="1"/>
  <c r="O1046" i="1"/>
  <c r="O1046" i="1" a="1"/>
  <c r="N1046" i="1"/>
  <c r="M1046" i="1"/>
  <c r="O1045" i="1" a="1"/>
  <c r="O1045" i="1" s="1"/>
  <c r="N1045" i="1"/>
  <c r="M1045" i="1"/>
  <c r="O1044" i="1" a="1"/>
  <c r="O1044" i="1" s="1"/>
  <c r="N1044" i="1"/>
  <c r="M1044" i="1"/>
  <c r="O1043" i="1"/>
  <c r="O1043" i="1" a="1"/>
  <c r="N1043" i="1"/>
  <c r="M1043" i="1"/>
  <c r="O1042" i="1"/>
  <c r="O1042" i="1" a="1"/>
  <c r="N1042" i="1"/>
  <c r="M1042" i="1"/>
  <c r="O1041" i="1" a="1"/>
  <c r="O1041" i="1" s="1"/>
  <c r="N1041" i="1"/>
  <c r="M1041" i="1"/>
  <c r="O1040" i="1" a="1"/>
  <c r="O1040" i="1" s="1"/>
  <c r="N1040" i="1"/>
  <c r="M1040" i="1"/>
  <c r="O1039" i="1"/>
  <c r="O1039" i="1" a="1"/>
  <c r="N1039" i="1"/>
  <c r="M1039" i="1"/>
  <c r="O1038" i="1" a="1"/>
  <c r="O1038" i="1" s="1"/>
  <c r="N1038" i="1"/>
  <c r="M1038" i="1"/>
  <c r="O1037" i="1"/>
  <c r="O1037" i="1" a="1"/>
  <c r="N1037" i="1"/>
  <c r="M1037" i="1"/>
  <c r="O1036" i="1" a="1"/>
  <c r="O1036" i="1" s="1"/>
  <c r="N1036" i="1"/>
  <c r="M1036" i="1"/>
  <c r="O1035" i="1" a="1"/>
  <c r="O1035" i="1" s="1"/>
  <c r="N1035" i="1"/>
  <c r="M1035" i="1"/>
  <c r="O1034" i="1"/>
  <c r="O1034" i="1" a="1"/>
  <c r="N1034" i="1"/>
  <c r="M1034" i="1"/>
  <c r="O1033" i="1"/>
  <c r="O1033" i="1" a="1"/>
  <c r="N1033" i="1"/>
  <c r="M1033" i="1"/>
  <c r="O1032" i="1" a="1"/>
  <c r="O1032" i="1" s="1"/>
  <c r="N1032" i="1"/>
  <c r="M1032" i="1"/>
  <c r="O1031" i="1" a="1"/>
  <c r="O1031" i="1" s="1"/>
  <c r="N1031" i="1"/>
  <c r="M1031" i="1"/>
  <c r="O1030" i="1"/>
  <c r="O1030" i="1" a="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c r="O1024" i="1" a="1"/>
  <c r="N1024" i="1"/>
  <c r="M1024" i="1"/>
  <c r="O1023" i="1" a="1"/>
  <c r="O1023" i="1" s="1"/>
  <c r="N1023" i="1"/>
  <c r="M1023" i="1"/>
  <c r="O1022" i="1" a="1"/>
  <c r="O1022" i="1" s="1"/>
  <c r="N1022" i="1"/>
  <c r="M1022" i="1"/>
  <c r="O1021" i="1"/>
  <c r="O1021" i="1" a="1"/>
  <c r="N1021" i="1"/>
  <c r="M1021" i="1"/>
  <c r="O1020" i="1" a="1"/>
  <c r="O1020" i="1" s="1"/>
  <c r="N1020" i="1"/>
  <c r="M1020" i="1"/>
  <c r="O1019" i="1"/>
  <c r="O1019" i="1" a="1"/>
  <c r="N1019" i="1"/>
  <c r="M1019" i="1"/>
  <c r="O1018" i="1" a="1"/>
  <c r="O1018" i="1" s="1"/>
  <c r="N1018" i="1"/>
  <c r="M1018" i="1"/>
  <c r="O1017" i="1" a="1"/>
  <c r="O1017" i="1" s="1"/>
  <c r="N1017" i="1"/>
  <c r="M1017" i="1"/>
  <c r="O1016" i="1"/>
  <c r="O1016" i="1" a="1"/>
  <c r="N1016" i="1"/>
  <c r="M1016" i="1"/>
  <c r="O1015" i="1"/>
  <c r="O1015" i="1" a="1"/>
  <c r="N1015" i="1"/>
  <c r="M1015" i="1"/>
  <c r="O1014" i="1" a="1"/>
  <c r="O1014" i="1" s="1"/>
  <c r="N1014" i="1"/>
  <c r="M1014" i="1"/>
  <c r="O1013" i="1" a="1"/>
  <c r="O1013" i="1" s="1"/>
  <c r="N1013" i="1"/>
  <c r="M1013" i="1"/>
  <c r="O1012" i="1"/>
  <c r="O1012" i="1" a="1"/>
  <c r="N1012" i="1"/>
  <c r="M1012" i="1"/>
  <c r="O1011" i="1" a="1"/>
  <c r="O1011" i="1" s="1"/>
  <c r="N1011" i="1"/>
  <c r="M1011" i="1"/>
  <c r="O1010" i="1"/>
  <c r="O1010" i="1" a="1"/>
  <c r="N1010" i="1"/>
  <c r="M1010" i="1"/>
  <c r="O1009" i="1" a="1"/>
  <c r="O1009" i="1" s="1"/>
  <c r="N1009" i="1"/>
  <c r="M1009" i="1"/>
  <c r="O1008" i="1" a="1"/>
  <c r="O1008" i="1" s="1"/>
  <c r="N1008" i="1"/>
  <c r="M1008" i="1"/>
  <c r="O1007" i="1"/>
  <c r="O1007" i="1" a="1"/>
  <c r="N1007" i="1"/>
  <c r="M1007" i="1"/>
  <c r="O1006" i="1"/>
  <c r="O1006" i="1" a="1"/>
  <c r="N1006" i="1"/>
  <c r="M1006" i="1"/>
  <c r="O1005" i="1" a="1"/>
  <c r="O1005" i="1" s="1"/>
  <c r="N1005" i="1"/>
  <c r="M1005" i="1"/>
  <c r="O1004" i="1" a="1"/>
  <c r="O1004" i="1" s="1"/>
  <c r="N1004" i="1"/>
  <c r="M1004" i="1"/>
  <c r="O1003" i="1"/>
  <c r="O1003" i="1" a="1"/>
  <c r="N1003" i="1"/>
  <c r="M1003" i="1"/>
  <c r="O1002" i="1" a="1"/>
  <c r="O1002" i="1" s="1"/>
  <c r="N1002" i="1"/>
  <c r="M1002" i="1"/>
  <c r="O1001" i="1"/>
  <c r="O1001" i="1" a="1"/>
  <c r="N1001" i="1"/>
  <c r="M1001" i="1"/>
  <c r="O1000" i="1" a="1"/>
  <c r="O1000" i="1" s="1"/>
  <c r="N1000" i="1"/>
  <c r="M1000" i="1"/>
  <c r="O999" i="1" a="1"/>
  <c r="O999" i="1" s="1"/>
  <c r="N999" i="1"/>
  <c r="M999" i="1"/>
  <c r="O998" i="1"/>
  <c r="O998" i="1" a="1"/>
  <c r="N998" i="1"/>
  <c r="M998" i="1"/>
  <c r="O997" i="1"/>
  <c r="O997" i="1" a="1"/>
  <c r="N997" i="1"/>
  <c r="M997" i="1"/>
  <c r="O996" i="1" a="1"/>
  <c r="O996" i="1" s="1"/>
  <c r="N996" i="1"/>
  <c r="M996" i="1"/>
  <c r="O995" i="1" a="1"/>
  <c r="O995" i="1" s="1"/>
  <c r="N995" i="1"/>
  <c r="M995" i="1"/>
  <c r="O994" i="1"/>
  <c r="O994" i="1" a="1"/>
  <c r="N994" i="1"/>
  <c r="M994" i="1"/>
  <c r="O993" i="1" a="1"/>
  <c r="O993" i="1" s="1"/>
  <c r="N993" i="1"/>
  <c r="M993" i="1"/>
  <c r="O992" i="1"/>
  <c r="O992" i="1" a="1"/>
  <c r="N992" i="1"/>
  <c r="M992" i="1"/>
  <c r="O991" i="1" a="1"/>
  <c r="O991" i="1" s="1"/>
  <c r="N991" i="1"/>
  <c r="M991" i="1"/>
  <c r="O990" i="1" a="1"/>
  <c r="O990" i="1" s="1"/>
  <c r="N990" i="1"/>
  <c r="M990" i="1"/>
  <c r="O989" i="1"/>
  <c r="O989" i="1" a="1"/>
  <c r="N989" i="1"/>
  <c r="M989" i="1"/>
  <c r="O988" i="1"/>
  <c r="O988" i="1" a="1"/>
  <c r="N988" i="1"/>
  <c r="M988" i="1"/>
  <c r="O987" i="1" a="1"/>
  <c r="O987" i="1" s="1"/>
  <c r="N987" i="1"/>
  <c r="M987" i="1"/>
  <c r="O986" i="1" a="1"/>
  <c r="O986" i="1" s="1"/>
  <c r="N986" i="1"/>
  <c r="M986" i="1"/>
  <c r="O985" i="1"/>
  <c r="O985" i="1" a="1"/>
  <c r="N985" i="1"/>
  <c r="M985" i="1"/>
  <c r="O984" i="1" a="1"/>
  <c r="O984" i="1" s="1"/>
  <c r="N984" i="1"/>
  <c r="M984" i="1"/>
  <c r="O983" i="1"/>
  <c r="O983" i="1" a="1"/>
  <c r="N983" i="1"/>
  <c r="M983" i="1"/>
  <c r="O982" i="1" a="1"/>
  <c r="O982" i="1" s="1"/>
  <c r="N982" i="1"/>
  <c r="M982" i="1"/>
  <c r="O981" i="1" a="1"/>
  <c r="O981" i="1" s="1"/>
  <c r="N981" i="1"/>
  <c r="M981" i="1"/>
  <c r="O980" i="1"/>
  <c r="O980" i="1" a="1"/>
  <c r="N980" i="1"/>
  <c r="M980" i="1"/>
  <c r="O979" i="1"/>
  <c r="O979" i="1" a="1"/>
  <c r="N979" i="1"/>
  <c r="M979" i="1"/>
  <c r="O978" i="1" a="1"/>
  <c r="O978" i="1" s="1"/>
  <c r="N978" i="1"/>
  <c r="M978" i="1"/>
  <c r="O977" i="1" a="1"/>
  <c r="O977" i="1" s="1"/>
  <c r="N977" i="1"/>
  <c r="M977" i="1"/>
  <c r="O976" i="1"/>
  <c r="O976" i="1" a="1"/>
  <c r="N976" i="1"/>
  <c r="M976" i="1"/>
  <c r="O975" i="1" a="1"/>
  <c r="O975" i="1" s="1"/>
  <c r="N975" i="1"/>
  <c r="M975" i="1"/>
  <c r="O974" i="1"/>
  <c r="O974" i="1" a="1"/>
  <c r="N974" i="1"/>
  <c r="M974" i="1"/>
  <c r="O973" i="1" a="1"/>
  <c r="O973" i="1" s="1"/>
  <c r="N973" i="1"/>
  <c r="M973" i="1"/>
  <c r="O972" i="1" a="1"/>
  <c r="O972" i="1" s="1"/>
  <c r="N972" i="1"/>
  <c r="M972" i="1"/>
  <c r="O971" i="1"/>
  <c r="O971" i="1" a="1"/>
  <c r="N971" i="1"/>
  <c r="M971" i="1"/>
  <c r="O970" i="1"/>
  <c r="O970" i="1" a="1"/>
  <c r="N970" i="1"/>
  <c r="M970" i="1"/>
  <c r="O969" i="1" a="1"/>
  <c r="O969" i="1" s="1"/>
  <c r="N969" i="1"/>
  <c r="M969" i="1"/>
  <c r="O968" i="1" a="1"/>
  <c r="O968" i="1" s="1"/>
  <c r="N968" i="1"/>
  <c r="M968" i="1"/>
  <c r="O967" i="1"/>
  <c r="O967" i="1" a="1"/>
  <c r="N967" i="1"/>
  <c r="M967" i="1"/>
  <c r="O966" i="1" a="1"/>
  <c r="O966" i="1" s="1"/>
  <c r="N966" i="1"/>
  <c r="M966" i="1"/>
  <c r="O965" i="1"/>
  <c r="O965" i="1" a="1"/>
  <c r="N965" i="1"/>
  <c r="M965" i="1"/>
  <c r="O964" i="1" a="1"/>
  <c r="O964" i="1" s="1"/>
  <c r="N964" i="1"/>
  <c r="M964" i="1"/>
  <c r="O963" i="1" a="1"/>
  <c r="O963" i="1" s="1"/>
  <c r="N963" i="1"/>
  <c r="M963" i="1"/>
  <c r="O962" i="1"/>
  <c r="O962" i="1" a="1"/>
  <c r="N962" i="1"/>
  <c r="M962" i="1"/>
  <c r="O961" i="1"/>
  <c r="O961" i="1" a="1"/>
  <c r="N961" i="1"/>
  <c r="M961" i="1"/>
  <c r="O960" i="1" a="1"/>
  <c r="O960" i="1" s="1"/>
  <c r="N960" i="1"/>
  <c r="M960" i="1"/>
  <c r="O959" i="1" a="1"/>
  <c r="O959" i="1" s="1"/>
  <c r="N959" i="1"/>
  <c r="M959" i="1"/>
  <c r="O958" i="1"/>
  <c r="O958" i="1" a="1"/>
  <c r="N958" i="1"/>
  <c r="M958" i="1"/>
  <c r="O957" i="1" a="1"/>
  <c r="O957" i="1" s="1"/>
  <c r="N957" i="1"/>
  <c r="M957" i="1"/>
  <c r="O956" i="1"/>
  <c r="O956" i="1" a="1"/>
  <c r="N956" i="1"/>
  <c r="M956" i="1"/>
  <c r="O955" i="1" a="1"/>
  <c r="O955" i="1" s="1"/>
  <c r="N955" i="1"/>
  <c r="M955" i="1"/>
  <c r="O954" i="1" a="1"/>
  <c r="O954" i="1" s="1"/>
  <c r="N954" i="1"/>
  <c r="M954" i="1"/>
  <c r="O953" i="1"/>
  <c r="O953" i="1" a="1"/>
  <c r="N953" i="1"/>
  <c r="M953" i="1"/>
  <c r="O952" i="1" a="1"/>
  <c r="O952" i="1" s="1"/>
  <c r="N952" i="1"/>
  <c r="M952" i="1"/>
  <c r="O951" i="1" a="1"/>
  <c r="O951" i="1" s="1"/>
  <c r="N951" i="1"/>
  <c r="M951" i="1"/>
  <c r="O950" i="1"/>
  <c r="O950" i="1" a="1"/>
  <c r="N950" i="1"/>
  <c r="M950" i="1"/>
  <c r="O949" i="1" a="1"/>
  <c r="O949" i="1" s="1"/>
  <c r="N949" i="1"/>
  <c r="M949" i="1"/>
  <c r="O948" i="1"/>
  <c r="O948" i="1" a="1"/>
  <c r="N948" i="1"/>
  <c r="M948" i="1"/>
  <c r="O947" i="1"/>
  <c r="O947" i="1" a="1"/>
  <c r="N947" i="1"/>
  <c r="M947" i="1"/>
  <c r="O946" i="1" a="1"/>
  <c r="O946" i="1" s="1"/>
  <c r="N946" i="1"/>
  <c r="M946" i="1"/>
  <c r="O945" i="1" a="1"/>
  <c r="O945" i="1" s="1"/>
  <c r="N945" i="1"/>
  <c r="M945" i="1"/>
  <c r="O944" i="1"/>
  <c r="O944" i="1" a="1"/>
  <c r="N944" i="1"/>
  <c r="M944" i="1"/>
  <c r="O943" i="1" a="1"/>
  <c r="O943" i="1" s="1"/>
  <c r="N943" i="1"/>
  <c r="M943" i="1"/>
  <c r="O942" i="1"/>
  <c r="O942" i="1" a="1"/>
  <c r="N942" i="1"/>
  <c r="M942" i="1"/>
  <c r="O941" i="1"/>
  <c r="O941" i="1" a="1"/>
  <c r="N941" i="1"/>
  <c r="M941" i="1"/>
  <c r="O940" i="1" a="1"/>
  <c r="O940" i="1" s="1"/>
  <c r="N940" i="1"/>
  <c r="M940" i="1"/>
  <c r="O939" i="1"/>
  <c r="O939" i="1" a="1"/>
  <c r="N939" i="1"/>
  <c r="M939" i="1"/>
  <c r="O938" i="1"/>
  <c r="O938" i="1" a="1"/>
  <c r="N938" i="1"/>
  <c r="M938" i="1"/>
  <c r="O937" i="1" a="1"/>
  <c r="O937" i="1" s="1"/>
  <c r="N937" i="1"/>
  <c r="M937" i="1"/>
  <c r="O936" i="1" a="1"/>
  <c r="O936" i="1" s="1"/>
  <c r="N936" i="1"/>
  <c r="M936" i="1"/>
  <c r="O935" i="1"/>
  <c r="O935" i="1" a="1"/>
  <c r="N935" i="1"/>
  <c r="M935" i="1"/>
  <c r="O934" i="1" a="1"/>
  <c r="O934" i="1" s="1"/>
  <c r="N934" i="1"/>
  <c r="M934" i="1"/>
  <c r="O933" i="1" a="1"/>
  <c r="O933" i="1" s="1"/>
  <c r="N933" i="1"/>
  <c r="M933" i="1"/>
  <c r="O932" i="1"/>
  <c r="O932" i="1" a="1"/>
  <c r="N932" i="1"/>
  <c r="M932" i="1"/>
  <c r="O931" i="1" a="1"/>
  <c r="O931" i="1" s="1"/>
  <c r="N931" i="1"/>
  <c r="M931" i="1"/>
  <c r="O930" i="1" a="1"/>
  <c r="O930" i="1" s="1"/>
  <c r="N930" i="1"/>
  <c r="M930" i="1"/>
  <c r="O929" i="1"/>
  <c r="O929" i="1" a="1"/>
  <c r="N929" i="1"/>
  <c r="M929" i="1"/>
  <c r="O928" i="1" a="1"/>
  <c r="O928" i="1" s="1"/>
  <c r="N928" i="1"/>
  <c r="M928" i="1"/>
  <c r="O927" i="1" a="1"/>
  <c r="O927" i="1" s="1"/>
  <c r="N927" i="1"/>
  <c r="M927" i="1"/>
  <c r="O926" i="1"/>
  <c r="O926" i="1" a="1"/>
  <c r="N926" i="1"/>
  <c r="M926" i="1"/>
  <c r="O925" i="1" a="1"/>
  <c r="O925" i="1" s="1"/>
  <c r="N925" i="1"/>
  <c r="M925" i="1"/>
  <c r="O924" i="1" a="1"/>
  <c r="O924" i="1" s="1"/>
  <c r="N924" i="1"/>
  <c r="M924" i="1"/>
  <c r="O923" i="1" a="1"/>
  <c r="O923" i="1" s="1"/>
  <c r="N923" i="1"/>
  <c r="M923" i="1"/>
  <c r="O922" i="1" a="1"/>
  <c r="O922" i="1" s="1"/>
  <c r="N922" i="1"/>
  <c r="M922" i="1"/>
  <c r="O921" i="1"/>
  <c r="O921" i="1" a="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c r="O912" i="1" a="1"/>
  <c r="N912" i="1"/>
  <c r="M912" i="1"/>
  <c r="O911" i="1"/>
  <c r="O911" i="1" a="1"/>
  <c r="N911" i="1"/>
  <c r="M911" i="1"/>
  <c r="O910" i="1" a="1"/>
  <c r="O910" i="1" s="1"/>
  <c r="N910" i="1"/>
  <c r="M910" i="1"/>
  <c r="O909" i="1" a="1"/>
  <c r="O909" i="1" s="1"/>
  <c r="N909" i="1"/>
  <c r="M909" i="1"/>
  <c r="O908" i="1"/>
  <c r="O908" i="1" a="1"/>
  <c r="N908" i="1"/>
  <c r="M908" i="1"/>
  <c r="O907" i="1" a="1"/>
  <c r="O907" i="1" s="1"/>
  <c r="N907" i="1"/>
  <c r="M907" i="1"/>
  <c r="O906" i="1"/>
  <c r="O906" i="1" a="1"/>
  <c r="N906" i="1"/>
  <c r="M906" i="1"/>
  <c r="O905" i="1" a="1"/>
  <c r="O905" i="1" s="1"/>
  <c r="N905" i="1"/>
  <c r="M905" i="1"/>
  <c r="O904" i="1" a="1"/>
  <c r="O904" i="1" s="1"/>
  <c r="N904" i="1"/>
  <c r="M904" i="1"/>
  <c r="O903" i="1"/>
  <c r="O903" i="1" a="1"/>
  <c r="N903" i="1"/>
  <c r="M903" i="1"/>
  <c r="O902" i="1" a="1"/>
  <c r="O902" i="1" s="1"/>
  <c r="N902" i="1"/>
  <c r="M902" i="1"/>
  <c r="O901" i="1" a="1"/>
  <c r="O901" i="1" s="1"/>
  <c r="N901" i="1"/>
  <c r="M901" i="1"/>
  <c r="O900" i="1" a="1"/>
  <c r="O900" i="1" s="1"/>
  <c r="N900" i="1"/>
  <c r="M900" i="1"/>
  <c r="O899" i="1"/>
  <c r="O899" i="1" a="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c r="O893" i="1" a="1"/>
  <c r="N893" i="1"/>
  <c r="M893" i="1"/>
  <c r="O892" i="1" a="1"/>
  <c r="O892" i="1" s="1"/>
  <c r="N892" i="1"/>
  <c r="M892" i="1"/>
  <c r="O891" i="1" a="1"/>
  <c r="O891" i="1" s="1"/>
  <c r="N891" i="1"/>
  <c r="M891" i="1"/>
  <c r="O890" i="1"/>
  <c r="O890" i="1" a="1"/>
  <c r="N890" i="1"/>
  <c r="M890" i="1"/>
  <c r="O889" i="1" a="1"/>
  <c r="O889" i="1" s="1"/>
  <c r="N889" i="1"/>
  <c r="M889" i="1"/>
  <c r="O888" i="1"/>
  <c r="O888" i="1" a="1"/>
  <c r="N888" i="1"/>
  <c r="M888" i="1"/>
  <c r="O887" i="1" a="1"/>
  <c r="O887" i="1" s="1"/>
  <c r="N887" i="1"/>
  <c r="M887" i="1"/>
  <c r="O886" i="1" a="1"/>
  <c r="O886" i="1" s="1"/>
  <c r="N886" i="1"/>
  <c r="M886" i="1"/>
  <c r="O885" i="1"/>
  <c r="O885" i="1" a="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a="1"/>
  <c r="O878" i="1" s="1"/>
  <c r="N878" i="1"/>
  <c r="M878" i="1"/>
  <c r="O877" i="1" a="1"/>
  <c r="O877" i="1" s="1"/>
  <c r="N877" i="1"/>
  <c r="M877" i="1"/>
  <c r="O876" i="1"/>
  <c r="O876" i="1" a="1"/>
  <c r="N876" i="1"/>
  <c r="M876" i="1"/>
  <c r="O875" i="1"/>
  <c r="O875" i="1" a="1"/>
  <c r="N875" i="1"/>
  <c r="M875" i="1"/>
  <c r="O874" i="1" a="1"/>
  <c r="O874" i="1" s="1"/>
  <c r="N874" i="1"/>
  <c r="M874" i="1"/>
  <c r="O873" i="1" a="1"/>
  <c r="O873" i="1" s="1"/>
  <c r="N873" i="1"/>
  <c r="M873" i="1"/>
  <c r="O872" i="1"/>
  <c r="O872" i="1" a="1"/>
  <c r="N872" i="1"/>
  <c r="M872" i="1"/>
  <c r="O871" i="1" a="1"/>
  <c r="O871" i="1" s="1"/>
  <c r="N871" i="1"/>
  <c r="M871" i="1"/>
  <c r="O870" i="1"/>
  <c r="O870" i="1" a="1"/>
  <c r="N870" i="1"/>
  <c r="M870" i="1"/>
  <c r="O869" i="1" a="1"/>
  <c r="O869" i="1" s="1"/>
  <c r="N869" i="1"/>
  <c r="M869" i="1"/>
  <c r="O868" i="1" a="1"/>
  <c r="O868" i="1" s="1"/>
  <c r="N868" i="1"/>
  <c r="M868" i="1"/>
  <c r="O867" i="1"/>
  <c r="O867" i="1" a="1"/>
  <c r="N867" i="1"/>
  <c r="M867" i="1"/>
  <c r="O866" i="1" a="1"/>
  <c r="O866" i="1" s="1"/>
  <c r="N866" i="1"/>
  <c r="M866" i="1"/>
  <c r="O865" i="1" a="1"/>
  <c r="O865" i="1" s="1"/>
  <c r="N865" i="1"/>
  <c r="M865" i="1"/>
  <c r="O864" i="1" a="1"/>
  <c r="O864" i="1" s="1"/>
  <c r="N864" i="1"/>
  <c r="M864" i="1"/>
  <c r="O863" i="1"/>
  <c r="O863" i="1" a="1"/>
  <c r="N863" i="1"/>
  <c r="M863" i="1"/>
  <c r="O862" i="1" a="1"/>
  <c r="O862" i="1" s="1"/>
  <c r="N862" i="1"/>
  <c r="M862" i="1"/>
  <c r="O861" i="1" a="1"/>
  <c r="O861" i="1" s="1"/>
  <c r="N861" i="1"/>
  <c r="M861" i="1"/>
  <c r="O860" i="1" a="1"/>
  <c r="O860" i="1" s="1"/>
  <c r="N860" i="1"/>
  <c r="M860" i="1"/>
  <c r="O859" i="1" a="1"/>
  <c r="O859" i="1" s="1"/>
  <c r="N859" i="1"/>
  <c r="M859" i="1"/>
  <c r="O858" i="1"/>
  <c r="O858" i="1" a="1"/>
  <c r="N858" i="1"/>
  <c r="M858" i="1"/>
  <c r="O857" i="1"/>
  <c r="O857" i="1" a="1"/>
  <c r="N857" i="1"/>
  <c r="M857" i="1"/>
  <c r="O856" i="1" a="1"/>
  <c r="O856" i="1" s="1"/>
  <c r="N856" i="1"/>
  <c r="M856" i="1"/>
  <c r="O855" i="1" a="1"/>
  <c r="O855" i="1" s="1"/>
  <c r="N855" i="1"/>
  <c r="M855" i="1"/>
  <c r="O854" i="1"/>
  <c r="O854" i="1" a="1"/>
  <c r="N854" i="1"/>
  <c r="M854" i="1"/>
  <c r="O853" i="1" a="1"/>
  <c r="O853" i="1" s="1"/>
  <c r="N853" i="1"/>
  <c r="M853" i="1"/>
  <c r="O852" i="1"/>
  <c r="O852" i="1" a="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c r="O840" i="1" a="1"/>
  <c r="N840" i="1"/>
  <c r="M840" i="1"/>
  <c r="O839" i="1"/>
  <c r="O839" i="1" a="1"/>
  <c r="N839" i="1"/>
  <c r="M839" i="1"/>
  <c r="O838" i="1" a="1"/>
  <c r="O838" i="1" s="1"/>
  <c r="N838" i="1"/>
  <c r="M838" i="1"/>
  <c r="O837" i="1" a="1"/>
  <c r="O837" i="1" s="1"/>
  <c r="N837" i="1"/>
  <c r="M837" i="1"/>
  <c r="O836" i="1"/>
  <c r="O836" i="1" a="1"/>
  <c r="N836" i="1"/>
  <c r="M836" i="1"/>
  <c r="O835" i="1" a="1"/>
  <c r="O835" i="1" s="1"/>
  <c r="N835" i="1"/>
  <c r="M835" i="1"/>
  <c r="O834" i="1"/>
  <c r="O834" i="1" a="1"/>
  <c r="N834" i="1"/>
  <c r="M834" i="1"/>
  <c r="O833" i="1" a="1"/>
  <c r="O833" i="1" s="1"/>
  <c r="N833" i="1"/>
  <c r="M833" i="1"/>
  <c r="O832" i="1" a="1"/>
  <c r="O832" i="1" s="1"/>
  <c r="N832" i="1"/>
  <c r="M832" i="1"/>
  <c r="O831" i="1"/>
  <c r="O831" i="1" a="1"/>
  <c r="N831" i="1"/>
  <c r="M831" i="1"/>
  <c r="O830" i="1" a="1"/>
  <c r="O830" i="1" s="1"/>
  <c r="N830" i="1"/>
  <c r="M830" i="1"/>
  <c r="O829" i="1" a="1"/>
  <c r="O829" i="1" s="1"/>
  <c r="N829" i="1"/>
  <c r="M829" i="1"/>
  <c r="O828" i="1" a="1"/>
  <c r="O828" i="1" s="1"/>
  <c r="N828" i="1"/>
  <c r="M828" i="1"/>
  <c r="O827" i="1"/>
  <c r="O827" i="1" a="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c r="O821" i="1" a="1"/>
  <c r="N821" i="1"/>
  <c r="M821" i="1"/>
  <c r="O820" i="1" a="1"/>
  <c r="O820" i="1" s="1"/>
  <c r="N820" i="1"/>
  <c r="M820" i="1"/>
  <c r="O819" i="1" a="1"/>
  <c r="O819" i="1" s="1"/>
  <c r="N819" i="1"/>
  <c r="M819" i="1"/>
  <c r="O818" i="1"/>
  <c r="O818" i="1" a="1"/>
  <c r="N818" i="1"/>
  <c r="M818" i="1"/>
  <c r="O817" i="1" a="1"/>
  <c r="O817" i="1" s="1"/>
  <c r="N817" i="1"/>
  <c r="M817" i="1"/>
  <c r="O816" i="1"/>
  <c r="O816" i="1" a="1"/>
  <c r="N816" i="1"/>
  <c r="M816" i="1"/>
  <c r="O815" i="1" a="1"/>
  <c r="O815" i="1" s="1"/>
  <c r="N815" i="1"/>
  <c r="M815" i="1"/>
  <c r="O814" i="1" a="1"/>
  <c r="O814" i="1" s="1"/>
  <c r="N814" i="1"/>
  <c r="M814" i="1"/>
  <c r="O813" i="1"/>
  <c r="O813" i="1" a="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c r="O798" i="1" a="1"/>
  <c r="N798" i="1"/>
  <c r="M798" i="1"/>
  <c r="O797" i="1" a="1"/>
  <c r="O797" i="1" s="1"/>
  <c r="N797" i="1"/>
  <c r="M797" i="1"/>
  <c r="O796" i="1" a="1"/>
  <c r="O796" i="1" s="1"/>
  <c r="N796" i="1"/>
  <c r="M796" i="1"/>
  <c r="O795" i="1"/>
  <c r="O795" i="1" a="1"/>
  <c r="N795" i="1"/>
  <c r="M795" i="1"/>
  <c r="O794" i="1" a="1"/>
  <c r="O794" i="1" s="1"/>
  <c r="N794" i="1"/>
  <c r="M794" i="1"/>
  <c r="O793" i="1" a="1"/>
  <c r="O793" i="1" s="1"/>
  <c r="N793" i="1"/>
  <c r="M793" i="1"/>
  <c r="O792" i="1" a="1"/>
  <c r="O792" i="1" s="1"/>
  <c r="N792" i="1"/>
  <c r="M792" i="1"/>
  <c r="O791" i="1"/>
  <c r="O791" i="1" a="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a="1"/>
  <c r="O783" i="1" s="1"/>
  <c r="N783" i="1"/>
  <c r="M783" i="1"/>
  <c r="O782" i="1"/>
  <c r="O782" i="1" a="1"/>
  <c r="N782" i="1"/>
  <c r="M782" i="1"/>
  <c r="O781" i="1" a="1"/>
  <c r="O781" i="1" s="1"/>
  <c r="N781" i="1"/>
  <c r="M781" i="1"/>
  <c r="O780" i="1" a="1"/>
  <c r="O780" i="1" s="1"/>
  <c r="N780" i="1"/>
  <c r="M780" i="1"/>
  <c r="O779" i="1" a="1"/>
  <c r="O779" i="1" s="1"/>
  <c r="N779" i="1"/>
  <c r="M779" i="1"/>
  <c r="O778" i="1" a="1"/>
  <c r="O778" i="1" s="1"/>
  <c r="N778" i="1"/>
  <c r="M778" i="1"/>
  <c r="O777" i="1"/>
  <c r="O777" i="1" a="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c r="O768" i="1" a="1"/>
  <c r="N768" i="1"/>
  <c r="M768" i="1"/>
  <c r="O767" i="1" a="1"/>
  <c r="O767" i="1" s="1"/>
  <c r="N767" i="1"/>
  <c r="M767" i="1"/>
  <c r="O766" i="1" a="1"/>
  <c r="O766" i="1" s="1"/>
  <c r="N766" i="1"/>
  <c r="M766" i="1"/>
  <c r="O765" i="1" a="1"/>
  <c r="O765" i="1" s="1"/>
  <c r="N765" i="1"/>
  <c r="M765" i="1"/>
  <c r="O764" i="1"/>
  <c r="O764" i="1" a="1"/>
  <c r="N764" i="1"/>
  <c r="M764" i="1"/>
  <c r="O763" i="1" a="1"/>
  <c r="O763" i="1" s="1"/>
  <c r="N763" i="1"/>
  <c r="M763" i="1"/>
  <c r="O762" i="1"/>
  <c r="O762" i="1" a="1"/>
  <c r="N762" i="1"/>
  <c r="M762" i="1"/>
  <c r="O761" i="1" a="1"/>
  <c r="O761" i="1" s="1"/>
  <c r="N761" i="1"/>
  <c r="M761" i="1"/>
  <c r="O760" i="1" a="1"/>
  <c r="O760" i="1" s="1"/>
  <c r="N760" i="1"/>
  <c r="M760" i="1"/>
  <c r="O759" i="1"/>
  <c r="O759" i="1" a="1"/>
  <c r="N759" i="1"/>
  <c r="M759" i="1"/>
  <c r="O758" i="1" a="1"/>
  <c r="O758" i="1" s="1"/>
  <c r="N758" i="1"/>
  <c r="M758" i="1"/>
  <c r="O757" i="1" a="1"/>
  <c r="O757" i="1" s="1"/>
  <c r="N757" i="1"/>
  <c r="M757" i="1"/>
  <c r="O756" i="1" a="1"/>
  <c r="O756" i="1" s="1"/>
  <c r="N756" i="1"/>
  <c r="M756" i="1"/>
  <c r="O755" i="1"/>
  <c r="O755" i="1" a="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c r="O749" i="1" a="1"/>
  <c r="N749" i="1"/>
  <c r="M749" i="1"/>
  <c r="O748" i="1" a="1"/>
  <c r="O748" i="1" s="1"/>
  <c r="N748" i="1"/>
  <c r="M748" i="1"/>
  <c r="O747" i="1" a="1"/>
  <c r="O747" i="1" s="1"/>
  <c r="N747" i="1"/>
  <c r="M747" i="1"/>
  <c r="O746" i="1"/>
  <c r="O746" i="1" a="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c r="O738" i="1" a="1"/>
  <c r="N738" i="1"/>
  <c r="M738" i="1"/>
  <c r="O737" i="1" a="1"/>
  <c r="O737" i="1" s="1"/>
  <c r="N737" i="1"/>
  <c r="M737" i="1"/>
  <c r="O736" i="1" a="1"/>
  <c r="O736" i="1" s="1"/>
  <c r="N736" i="1"/>
  <c r="M736" i="1"/>
  <c r="O735" i="1"/>
  <c r="O735" i="1" a="1"/>
  <c r="N735" i="1"/>
  <c r="M735" i="1"/>
  <c r="O734" i="1" a="1"/>
  <c r="O734" i="1" s="1"/>
  <c r="N734" i="1"/>
  <c r="M734" i="1"/>
  <c r="O733" i="1" a="1"/>
  <c r="O733" i="1" s="1"/>
  <c r="N733" i="1"/>
  <c r="M733" i="1"/>
  <c r="O732" i="1"/>
  <c r="O732" i="1" a="1"/>
  <c r="N732" i="1"/>
  <c r="M732" i="1"/>
  <c r="O731" i="1" a="1"/>
  <c r="O731" i="1" s="1"/>
  <c r="N731" i="1"/>
  <c r="M731" i="1"/>
  <c r="O730" i="1" a="1"/>
  <c r="O730" i="1" s="1"/>
  <c r="N730" i="1"/>
  <c r="M730" i="1"/>
  <c r="O729" i="1"/>
  <c r="O729" i="1" a="1"/>
  <c r="N729" i="1"/>
  <c r="M729" i="1"/>
  <c r="O728" i="1" a="1"/>
  <c r="O728" i="1" s="1"/>
  <c r="N728" i="1"/>
  <c r="M728" i="1"/>
  <c r="O727" i="1" a="1"/>
  <c r="O727" i="1" s="1"/>
  <c r="N727" i="1"/>
  <c r="M727" i="1"/>
  <c r="O726" i="1"/>
  <c r="O726" i="1" a="1"/>
  <c r="N726" i="1"/>
  <c r="M726" i="1"/>
  <c r="O725" i="1" a="1"/>
  <c r="O725" i="1" s="1"/>
  <c r="N725" i="1"/>
  <c r="M725" i="1"/>
  <c r="O724" i="1" a="1"/>
  <c r="O724" i="1" s="1"/>
  <c r="N724" i="1"/>
  <c r="M724" i="1"/>
  <c r="O723" i="1"/>
  <c r="O723" i="1" a="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c r="O717" i="1" a="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c r="O264" i="1" a="1"/>
  <c r="N264" i="1"/>
  <c r="M264" i="1"/>
  <c r="O263" i="1"/>
  <c r="O263" i="1" a="1"/>
  <c r="N263" i="1"/>
  <c r="M263" i="1"/>
  <c r="O262" i="1" a="1"/>
  <c r="O262" i="1" s="1"/>
  <c r="N262" i="1"/>
  <c r="M262" i="1"/>
  <c r="O261" i="1" a="1"/>
  <c r="O261" i="1" s="1"/>
  <c r="N261" i="1"/>
  <c r="M261" i="1"/>
  <c r="O260" i="1"/>
  <c r="O260" i="1" a="1"/>
  <c r="N260" i="1"/>
  <c r="M260" i="1"/>
  <c r="O259" i="1" a="1"/>
  <c r="O259" i="1" s="1"/>
  <c r="N259" i="1"/>
  <c r="M259" i="1"/>
  <c r="O258" i="1"/>
  <c r="O258" i="1" a="1"/>
  <c r="N258" i="1"/>
  <c r="M258" i="1"/>
  <c r="O257" i="1"/>
  <c r="O257" i="1" a="1"/>
  <c r="N257" i="1"/>
  <c r="M257" i="1"/>
  <c r="O256" i="1" a="1"/>
  <c r="O256" i="1" s="1"/>
  <c r="N256" i="1"/>
  <c r="M256" i="1"/>
  <c r="O255" i="1"/>
  <c r="O255" i="1" a="1"/>
  <c r="N255" i="1"/>
  <c r="M255" i="1"/>
  <c r="O254" i="1"/>
  <c r="O254" i="1" a="1"/>
  <c r="N254" i="1"/>
  <c r="M254" i="1"/>
  <c r="O253" i="1" a="1"/>
  <c r="O253" i="1" s="1"/>
  <c r="N253" i="1"/>
  <c r="M253" i="1"/>
  <c r="O252" i="1" a="1"/>
  <c r="O252" i="1" s="1"/>
  <c r="N252" i="1"/>
  <c r="M252" i="1"/>
  <c r="O251" i="1"/>
  <c r="O251" i="1" a="1"/>
  <c r="N251" i="1"/>
  <c r="M251" i="1"/>
  <c r="O250" i="1" a="1"/>
  <c r="O250" i="1" s="1"/>
  <c r="N250" i="1"/>
  <c r="M250" i="1"/>
  <c r="O249" i="1"/>
  <c r="O249" i="1" a="1"/>
  <c r="N249" i="1"/>
  <c r="M249" i="1"/>
  <c r="O248" i="1"/>
  <c r="O248" i="1" a="1"/>
  <c r="N248" i="1"/>
  <c r="M248" i="1"/>
  <c r="O247" i="1" a="1"/>
  <c r="O247" i="1" s="1"/>
  <c r="N247" i="1"/>
  <c r="M247" i="1"/>
  <c r="O246" i="1"/>
  <c r="O246" i="1" a="1"/>
  <c r="N246" i="1"/>
  <c r="M246" i="1"/>
  <c r="O245" i="1"/>
  <c r="O245" i="1" a="1"/>
  <c r="N245" i="1"/>
  <c r="M245" i="1"/>
  <c r="O244" i="1" a="1"/>
  <c r="O244" i="1" s="1"/>
  <c r="N244" i="1"/>
  <c r="M244" i="1"/>
  <c r="O243" i="1" a="1"/>
  <c r="O243" i="1" s="1"/>
  <c r="N243" i="1"/>
  <c r="M243" i="1"/>
  <c r="O242" i="1"/>
  <c r="O242" i="1" a="1"/>
  <c r="N242" i="1"/>
  <c r="M242" i="1"/>
  <c r="O241" i="1" a="1"/>
  <c r="O241" i="1" s="1"/>
  <c r="N241" i="1"/>
  <c r="M241" i="1"/>
  <c r="O240" i="1"/>
  <c r="O240" i="1" a="1"/>
  <c r="N240" i="1"/>
  <c r="M240" i="1"/>
  <c r="O239" i="1"/>
  <c r="O239" i="1" a="1"/>
  <c r="N239" i="1"/>
  <c r="M239" i="1"/>
  <c r="O238" i="1" a="1"/>
  <c r="O238" i="1" s="1"/>
  <c r="N238" i="1"/>
  <c r="M238" i="1"/>
  <c r="O237" i="1"/>
  <c r="O237" i="1" a="1"/>
  <c r="N237" i="1"/>
  <c r="M237" i="1"/>
  <c r="O236" i="1"/>
  <c r="O236" i="1" a="1"/>
  <c r="N236" i="1"/>
  <c r="M236" i="1"/>
  <c r="O235" i="1" a="1"/>
  <c r="O235" i="1" s="1"/>
  <c r="N235" i="1"/>
  <c r="M235" i="1"/>
  <c r="O234" i="1" a="1"/>
  <c r="O234" i="1" s="1"/>
  <c r="N234" i="1"/>
  <c r="M234" i="1"/>
  <c r="O233" i="1"/>
  <c r="O233" i="1" a="1"/>
  <c r="N233" i="1"/>
  <c r="M233" i="1"/>
  <c r="O232" i="1" a="1"/>
  <c r="O232" i="1" s="1"/>
  <c r="N232" i="1"/>
  <c r="M232" i="1"/>
  <c r="O231" i="1" a="1"/>
  <c r="O231" i="1" s="1"/>
  <c r="N231" i="1"/>
  <c r="M231" i="1"/>
  <c r="O230" i="1"/>
  <c r="O230" i="1" a="1"/>
  <c r="N230" i="1"/>
  <c r="M230" i="1"/>
  <c r="O229" i="1" a="1"/>
  <c r="O229" i="1" s="1"/>
  <c r="N229" i="1"/>
  <c r="M229" i="1"/>
  <c r="O228" i="1"/>
  <c r="O228" i="1" a="1"/>
  <c r="N228" i="1"/>
  <c r="M228" i="1"/>
  <c r="O227" i="1"/>
  <c r="O227" i="1" a="1"/>
  <c r="N227" i="1"/>
  <c r="M227" i="1"/>
  <c r="O226" i="1" a="1"/>
  <c r="O226" i="1" s="1"/>
  <c r="N226" i="1"/>
  <c r="M226" i="1"/>
  <c r="O225" i="1" a="1"/>
  <c r="O225" i="1" s="1"/>
  <c r="N225" i="1"/>
  <c r="M225" i="1"/>
  <c r="O224" i="1"/>
  <c r="O224" i="1" a="1"/>
  <c r="N224" i="1"/>
  <c r="M224" i="1"/>
  <c r="O223" i="1" a="1"/>
  <c r="O223" i="1" s="1"/>
  <c r="N223" i="1"/>
  <c r="M223" i="1"/>
  <c r="O222" i="1"/>
  <c r="O222" i="1" a="1"/>
  <c r="N222" i="1"/>
  <c r="M222" i="1"/>
  <c r="O221" i="1"/>
  <c r="O221" i="1" a="1"/>
  <c r="N221" i="1"/>
  <c r="M221" i="1"/>
  <c r="O220" i="1" a="1"/>
  <c r="O220" i="1" s="1"/>
  <c r="N220" i="1"/>
  <c r="M220" i="1"/>
  <c r="O219" i="1"/>
  <c r="O219" i="1" a="1"/>
  <c r="N219" i="1"/>
  <c r="M219" i="1"/>
  <c r="O218" i="1"/>
  <c r="O218" i="1" a="1"/>
  <c r="N218" i="1"/>
  <c r="M218" i="1"/>
  <c r="O217" i="1" a="1"/>
  <c r="O217" i="1" s="1"/>
  <c r="N217" i="1"/>
  <c r="M217" i="1"/>
  <c r="O216" i="1" a="1"/>
  <c r="O216" i="1" s="1"/>
  <c r="N216" i="1"/>
  <c r="M216" i="1"/>
  <c r="O215" i="1"/>
  <c r="O215" i="1" a="1"/>
  <c r="N215" i="1"/>
  <c r="M215" i="1"/>
  <c r="O214" i="1" a="1"/>
  <c r="O214" i="1" s="1"/>
  <c r="N214" i="1"/>
  <c r="M214" i="1"/>
  <c r="O213" i="1"/>
  <c r="O213" i="1" a="1"/>
  <c r="N213" i="1"/>
  <c r="M213" i="1"/>
  <c r="O212" i="1" a="1"/>
  <c r="O212" i="1" s="1"/>
  <c r="N212" i="1"/>
  <c r="M212" i="1"/>
  <c r="O211" i="1" a="1"/>
  <c r="O211" i="1" s="1"/>
  <c r="N211" i="1"/>
  <c r="M211" i="1"/>
  <c r="O210" i="1"/>
  <c r="O210" i="1" a="1"/>
  <c r="N210" i="1"/>
  <c r="M210" i="1"/>
  <c r="O209" i="1"/>
  <c r="O209" i="1" a="1"/>
  <c r="N209" i="1"/>
  <c r="M209" i="1"/>
  <c r="O208" i="1" a="1"/>
  <c r="O208" i="1" s="1"/>
  <c r="N208" i="1"/>
  <c r="M208" i="1"/>
  <c r="O207" i="1" a="1"/>
  <c r="O207" i="1" s="1"/>
  <c r="N207" i="1"/>
  <c r="M207" i="1"/>
  <c r="O206" i="1"/>
  <c r="O206" i="1" a="1"/>
  <c r="N206" i="1"/>
  <c r="M206" i="1"/>
  <c r="O205" i="1" a="1"/>
  <c r="O205" i="1" s="1"/>
  <c r="N205" i="1"/>
  <c r="M205" i="1"/>
  <c r="O204" i="1"/>
  <c r="O204" i="1" a="1"/>
  <c r="N204" i="1"/>
  <c r="M204" i="1"/>
  <c r="O203" i="1" a="1"/>
  <c r="O203" i="1" s="1"/>
  <c r="N203" i="1"/>
  <c r="M203" i="1"/>
  <c r="O202" i="1" a="1"/>
  <c r="O202" i="1" s="1"/>
  <c r="N202" i="1"/>
  <c r="M202" i="1"/>
  <c r="O201" i="1"/>
  <c r="O201" i="1" a="1"/>
  <c r="N201" i="1"/>
  <c r="M201" i="1"/>
  <c r="O200" i="1"/>
  <c r="O200" i="1" a="1"/>
  <c r="N200" i="1"/>
  <c r="M200" i="1"/>
  <c r="O199" i="1" a="1"/>
  <c r="O199" i="1" s="1"/>
  <c r="N199" i="1"/>
  <c r="M199" i="1"/>
  <c r="O198" i="1" a="1"/>
  <c r="O198" i="1" s="1"/>
  <c r="N198" i="1"/>
  <c r="M198" i="1"/>
  <c r="O197" i="1"/>
  <c r="O197" i="1" a="1"/>
  <c r="N197" i="1"/>
  <c r="M197" i="1"/>
  <c r="O196" i="1" a="1"/>
  <c r="O196" i="1" s="1"/>
  <c r="N196" i="1"/>
  <c r="M196" i="1"/>
  <c r="O195" i="1" a="1"/>
  <c r="O195" i="1" s="1"/>
  <c r="N195" i="1"/>
  <c r="M195" i="1"/>
  <c r="O194" i="1" a="1"/>
  <c r="O194" i="1" s="1"/>
  <c r="N194" i="1"/>
  <c r="M194" i="1"/>
  <c r="O193" i="1" a="1"/>
  <c r="O193" i="1" s="1"/>
  <c r="N193" i="1"/>
  <c r="M193" i="1"/>
  <c r="O192" i="1"/>
  <c r="O192" i="1" a="1"/>
  <c r="N192" i="1"/>
  <c r="M192" i="1"/>
  <c r="O191" i="1"/>
  <c r="O191" i="1" a="1"/>
  <c r="N191" i="1"/>
  <c r="M191" i="1"/>
  <c r="O190" i="1" a="1"/>
  <c r="O190" i="1" s="1"/>
  <c r="N190" i="1"/>
  <c r="M190" i="1"/>
  <c r="O189" i="1" a="1"/>
  <c r="O189" i="1" s="1"/>
  <c r="N189" i="1"/>
  <c r="M189" i="1"/>
  <c r="O188" i="1"/>
  <c r="O188" i="1" a="1"/>
  <c r="N188" i="1"/>
  <c r="M188" i="1"/>
  <c r="O187" i="1" a="1"/>
  <c r="O187" i="1" s="1"/>
  <c r="N187" i="1"/>
  <c r="M187" i="1"/>
  <c r="O186" i="1"/>
  <c r="O186" i="1" a="1"/>
  <c r="N186" i="1"/>
  <c r="M186" i="1"/>
  <c r="O185" i="1" a="1"/>
  <c r="O185" i="1" s="1"/>
  <c r="N185" i="1"/>
  <c r="M185" i="1"/>
  <c r="O184" i="1" a="1"/>
  <c r="O184" i="1" s="1"/>
  <c r="N184" i="1"/>
  <c r="M184" i="1"/>
  <c r="O183" i="1"/>
  <c r="O183" i="1" a="1"/>
  <c r="N183" i="1"/>
  <c r="M183" i="1"/>
  <c r="O182" i="1" a="1"/>
  <c r="O182" i="1" s="1"/>
  <c r="N182" i="1"/>
  <c r="M182" i="1"/>
  <c r="O181" i="1" a="1"/>
  <c r="O181" i="1" s="1"/>
  <c r="N181" i="1"/>
  <c r="M181" i="1"/>
  <c r="O180" i="1" a="1"/>
  <c r="O180" i="1" s="1"/>
  <c r="N180" i="1"/>
  <c r="M180" i="1"/>
  <c r="O179" i="1"/>
  <c r="O179" i="1" a="1"/>
  <c r="N179" i="1"/>
  <c r="M179" i="1"/>
  <c r="O178" i="1" a="1"/>
  <c r="O178" i="1" s="1"/>
  <c r="N178" i="1"/>
  <c r="M178" i="1"/>
  <c r="O177" i="1"/>
  <c r="O177" i="1" a="1"/>
  <c r="N177" i="1"/>
  <c r="M177" i="1"/>
  <c r="O176" i="1" a="1"/>
  <c r="O176" i="1" s="1"/>
  <c r="N176" i="1"/>
  <c r="M176" i="1"/>
  <c r="O175" i="1" a="1"/>
  <c r="O175" i="1" s="1"/>
  <c r="N175" i="1"/>
  <c r="M175" i="1"/>
  <c r="O174" i="1"/>
  <c r="O174" i="1" a="1"/>
  <c r="N174" i="1"/>
  <c r="M174" i="1"/>
  <c r="O173" i="1"/>
  <c r="O173" i="1" a="1"/>
  <c r="N173" i="1"/>
  <c r="M173" i="1"/>
  <c r="O172" i="1" a="1"/>
  <c r="O172" i="1" s="1"/>
  <c r="N172" i="1"/>
  <c r="M172" i="1"/>
  <c r="O171" i="1" a="1"/>
  <c r="O171" i="1" s="1"/>
  <c r="N171" i="1"/>
  <c r="M171" i="1"/>
  <c r="O170" i="1"/>
  <c r="O170" i="1" a="1"/>
  <c r="N170" i="1"/>
  <c r="M170" i="1"/>
  <c r="O169" i="1" a="1"/>
  <c r="O169" i="1" s="1"/>
  <c r="N169" i="1"/>
  <c r="M169" i="1"/>
  <c r="O168" i="1"/>
  <c r="O168" i="1" a="1"/>
  <c r="N168" i="1"/>
  <c r="M168" i="1"/>
  <c r="O167" i="1" a="1"/>
  <c r="O167" i="1" s="1"/>
  <c r="N167" i="1"/>
  <c r="M167" i="1"/>
  <c r="O166" i="1" a="1"/>
  <c r="O166" i="1" s="1"/>
  <c r="N166" i="1"/>
  <c r="M166" i="1"/>
  <c r="O165" i="1"/>
  <c r="O165" i="1" a="1"/>
  <c r="N165" i="1"/>
  <c r="M165" i="1"/>
  <c r="O164" i="1"/>
  <c r="O164" i="1" a="1"/>
  <c r="N164" i="1"/>
  <c r="M164" i="1"/>
  <c r="O163" i="1" a="1"/>
  <c r="O163" i="1" s="1"/>
  <c r="N163" i="1"/>
  <c r="M163" i="1"/>
  <c r="O162" i="1" a="1"/>
  <c r="O162" i="1" s="1"/>
  <c r="N162" i="1"/>
  <c r="M162" i="1"/>
  <c r="O161" i="1"/>
  <c r="O161" i="1" a="1"/>
  <c r="N161" i="1"/>
  <c r="M161" i="1"/>
  <c r="O160" i="1" a="1"/>
  <c r="O160" i="1" s="1"/>
  <c r="N160" i="1"/>
  <c r="M160" i="1"/>
  <c r="O159" i="1" a="1"/>
  <c r="O159" i="1" s="1"/>
  <c r="N159" i="1"/>
  <c r="M159" i="1"/>
  <c r="O158" i="1" a="1"/>
  <c r="O158" i="1" s="1"/>
  <c r="N158" i="1"/>
  <c r="M158" i="1"/>
  <c r="O157" i="1" a="1"/>
  <c r="O157" i="1" s="1"/>
  <c r="N157" i="1"/>
  <c r="M157" i="1"/>
  <c r="O156" i="1"/>
  <c r="O156" i="1" a="1"/>
  <c r="N156" i="1"/>
  <c r="M156" i="1"/>
  <c r="O155" i="1"/>
  <c r="O155" i="1" a="1"/>
  <c r="N155" i="1"/>
  <c r="M155" i="1"/>
  <c r="O154" i="1" a="1"/>
  <c r="O154" i="1" s="1"/>
  <c r="N154" i="1"/>
  <c r="M154" i="1"/>
  <c r="O153" i="1" a="1"/>
  <c r="O153" i="1" s="1"/>
  <c r="N153" i="1"/>
  <c r="M153" i="1"/>
  <c r="O152" i="1"/>
  <c r="O152" i="1" a="1"/>
  <c r="N152" i="1"/>
  <c r="M152" i="1"/>
  <c r="O151" i="1" a="1"/>
  <c r="O151" i="1" s="1"/>
  <c r="N151" i="1"/>
  <c r="M151" i="1"/>
  <c r="O150" i="1"/>
  <c r="O150" i="1" a="1"/>
  <c r="N150" i="1"/>
  <c r="M150" i="1"/>
  <c r="O149" i="1" a="1"/>
  <c r="O149" i="1" s="1"/>
  <c r="N149" i="1"/>
  <c r="M149" i="1"/>
  <c r="O148" i="1" a="1"/>
  <c r="O148" i="1" s="1"/>
  <c r="N148" i="1"/>
  <c r="M148" i="1"/>
  <c r="O147" i="1"/>
  <c r="O147" i="1" a="1"/>
  <c r="N147" i="1"/>
  <c r="M147" i="1"/>
  <c r="O146" i="1" a="1"/>
  <c r="O146" i="1" s="1"/>
  <c r="N146" i="1"/>
  <c r="M146" i="1"/>
  <c r="O145" i="1" a="1"/>
  <c r="O145" i="1" s="1"/>
  <c r="N145" i="1"/>
  <c r="M145" i="1"/>
  <c r="O144" i="1" a="1"/>
  <c r="O144" i="1" s="1"/>
  <c r="N144" i="1"/>
  <c r="M144" i="1"/>
  <c r="O143" i="1"/>
  <c r="O143" i="1" a="1"/>
  <c r="N143" i="1"/>
  <c r="M143" i="1"/>
  <c r="O142" i="1" a="1"/>
  <c r="O142" i="1" s="1"/>
  <c r="N142" i="1"/>
  <c r="M142" i="1"/>
  <c r="O141" i="1"/>
  <c r="O141" i="1" a="1"/>
  <c r="N141" i="1"/>
  <c r="M141" i="1"/>
  <c r="O140" i="1" a="1"/>
  <c r="O140" i="1" s="1"/>
  <c r="N140" i="1"/>
  <c r="M140" i="1"/>
  <c r="O139" i="1" a="1"/>
  <c r="O139" i="1" s="1"/>
  <c r="N139" i="1"/>
  <c r="M139" i="1"/>
  <c r="O138" i="1"/>
  <c r="O138" i="1" a="1"/>
  <c r="N138" i="1"/>
  <c r="M138" i="1"/>
  <c r="O137" i="1"/>
  <c r="O137" i="1" a="1"/>
  <c r="N137" i="1"/>
  <c r="M137" i="1"/>
  <c r="O136" i="1" a="1"/>
  <c r="O136" i="1" s="1"/>
  <c r="N136" i="1"/>
  <c r="M136" i="1"/>
  <c r="O135" i="1" a="1"/>
  <c r="O135" i="1" s="1"/>
  <c r="N135" i="1"/>
  <c r="M135" i="1"/>
  <c r="O134" i="1"/>
  <c r="O134" i="1" a="1"/>
  <c r="N134" i="1"/>
  <c r="M134" i="1"/>
  <c r="O133" i="1" a="1"/>
  <c r="O133" i="1" s="1"/>
  <c r="N133" i="1"/>
  <c r="M133" i="1"/>
  <c r="O132" i="1"/>
  <c r="O132" i="1" a="1"/>
  <c r="N132" i="1"/>
  <c r="M132" i="1"/>
  <c r="O131" i="1" a="1"/>
  <c r="O131" i="1" s="1"/>
  <c r="N131" i="1"/>
  <c r="M131" i="1"/>
  <c r="O130" i="1" a="1"/>
  <c r="O130" i="1" s="1"/>
  <c r="N130" i="1"/>
  <c r="M130" i="1"/>
  <c r="O129" i="1"/>
  <c r="O129" i="1" a="1"/>
  <c r="N129" i="1"/>
  <c r="M129" i="1"/>
  <c r="O128" i="1"/>
  <c r="O128" i="1" a="1"/>
  <c r="N128" i="1"/>
  <c r="M128" i="1"/>
  <c r="O127" i="1" a="1"/>
  <c r="O127" i="1" s="1"/>
  <c r="N127" i="1"/>
  <c r="M127" i="1"/>
  <c r="O126" i="1" a="1"/>
  <c r="O126" i="1" s="1"/>
  <c r="N126" i="1"/>
  <c r="M126" i="1"/>
  <c r="O125" i="1"/>
  <c r="O125" i="1" a="1"/>
  <c r="N125" i="1"/>
  <c r="M125" i="1"/>
  <c r="O124" i="1" a="1"/>
  <c r="O124" i="1" s="1"/>
  <c r="N124" i="1"/>
  <c r="M124" i="1"/>
  <c r="O123" i="1" a="1"/>
  <c r="O123" i="1" s="1"/>
  <c r="N123" i="1"/>
  <c r="M123" i="1"/>
  <c r="O122" i="1" a="1"/>
  <c r="O122" i="1" s="1"/>
  <c r="N122" i="1"/>
  <c r="M122" i="1"/>
  <c r="O121" i="1" a="1"/>
  <c r="O121" i="1" s="1"/>
  <c r="N121" i="1"/>
  <c r="M121" i="1"/>
  <c r="O120" i="1"/>
  <c r="O120" i="1" a="1"/>
  <c r="N120" i="1"/>
  <c r="M120" i="1"/>
  <c r="O119" i="1"/>
  <c r="O119" i="1" a="1"/>
  <c r="N119" i="1"/>
  <c r="M119" i="1"/>
  <c r="O118" i="1" a="1"/>
  <c r="O118" i="1" s="1"/>
  <c r="N118" i="1"/>
  <c r="M118" i="1"/>
  <c r="O117" i="1" a="1"/>
  <c r="O117" i="1" s="1"/>
  <c r="N117" i="1"/>
  <c r="M117" i="1"/>
  <c r="O116" i="1"/>
  <c r="O116" i="1" a="1"/>
  <c r="N116" i="1"/>
  <c r="M116" i="1"/>
  <c r="O115" i="1" a="1"/>
  <c r="O115" i="1" s="1"/>
  <c r="N115" i="1"/>
  <c r="M115" i="1"/>
  <c r="O114" i="1"/>
  <c r="O114" i="1" a="1"/>
  <c r="N114" i="1"/>
  <c r="M114" i="1"/>
  <c r="O113" i="1" a="1"/>
  <c r="O113" i="1" s="1"/>
  <c r="N113" i="1"/>
  <c r="M113" i="1"/>
  <c r="O112" i="1" a="1"/>
  <c r="O112" i="1" s="1"/>
  <c r="N112" i="1"/>
  <c r="M112" i="1"/>
  <c r="O111" i="1"/>
  <c r="O111" i="1" a="1"/>
  <c r="N111" i="1"/>
  <c r="M111" i="1"/>
  <c r="O110" i="1" a="1"/>
  <c r="O110" i="1" s="1"/>
  <c r="N110" i="1"/>
  <c r="M110" i="1"/>
  <c r="O109" i="1" a="1"/>
  <c r="O109" i="1" s="1"/>
  <c r="N109" i="1"/>
  <c r="M109" i="1"/>
  <c r="O108" i="1" a="1"/>
  <c r="O108" i="1" s="1"/>
  <c r="N108" i="1"/>
  <c r="M108" i="1"/>
  <c r="O107" i="1"/>
  <c r="O107" i="1" a="1"/>
  <c r="N107" i="1"/>
  <c r="M107" i="1"/>
  <c r="O106" i="1" a="1"/>
  <c r="O106" i="1" s="1"/>
  <c r="N106" i="1"/>
  <c r="M106" i="1"/>
  <c r="O105" i="1"/>
  <c r="O105" i="1" a="1"/>
  <c r="N105" i="1"/>
  <c r="M105" i="1"/>
  <c r="O104" i="1" a="1"/>
  <c r="O104" i="1" s="1"/>
  <c r="N104" i="1"/>
  <c r="M104" i="1"/>
  <c r="O103" i="1" a="1"/>
  <c r="O103" i="1" s="1"/>
  <c r="N103" i="1"/>
  <c r="M103" i="1"/>
  <c r="O102" i="1"/>
  <c r="O102" i="1" a="1"/>
  <c r="N102" i="1"/>
  <c r="M102" i="1"/>
  <c r="O101" i="1"/>
  <c r="O101" i="1" a="1"/>
  <c r="N101" i="1"/>
  <c r="M101" i="1"/>
  <c r="O100" i="1" a="1"/>
  <c r="O100" i="1" s="1"/>
  <c r="N100" i="1"/>
  <c r="M100" i="1"/>
  <c r="O99" i="1" a="1"/>
  <c r="O99" i="1" s="1"/>
  <c r="N99" i="1"/>
  <c r="M99" i="1"/>
  <c r="O98" i="1"/>
  <c r="O98" i="1" a="1"/>
  <c r="N98" i="1"/>
  <c r="M98" i="1"/>
  <c r="O97" i="1" a="1"/>
  <c r="O97" i="1" s="1"/>
  <c r="N97" i="1"/>
  <c r="M97" i="1"/>
  <c r="O96" i="1"/>
  <c r="O96" i="1" a="1"/>
  <c r="N96" i="1"/>
  <c r="M96" i="1"/>
  <c r="O95" i="1" a="1"/>
  <c r="O95" i="1" s="1"/>
  <c r="N95" i="1"/>
  <c r="M95" i="1"/>
  <c r="O94" i="1" a="1"/>
  <c r="O94" i="1" s="1"/>
  <c r="N94" i="1"/>
  <c r="M94" i="1"/>
  <c r="O93" i="1"/>
  <c r="O93" i="1" a="1"/>
  <c r="N93" i="1"/>
  <c r="M93" i="1"/>
  <c r="O92" i="1"/>
  <c r="O92" i="1" a="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c r="O84" i="1" a="1"/>
  <c r="N84" i="1"/>
  <c r="M84" i="1"/>
  <c r="O83" i="1"/>
  <c r="O83" i="1" a="1"/>
  <c r="N83" i="1"/>
  <c r="M83" i="1"/>
  <c r="O82" i="1" a="1"/>
  <c r="O82" i="1" s="1"/>
  <c r="N82" i="1"/>
  <c r="M82" i="1"/>
  <c r="O81" i="1" a="1"/>
  <c r="O81" i="1" s="1"/>
  <c r="N81" i="1"/>
  <c r="M81" i="1"/>
  <c r="O80" i="1"/>
  <c r="O80" i="1" a="1"/>
  <c r="N80" i="1"/>
  <c r="M80" i="1"/>
  <c r="O79" i="1" a="1"/>
  <c r="O79" i="1" s="1"/>
  <c r="N79" i="1"/>
  <c r="M79" i="1"/>
  <c r="O78" i="1"/>
  <c r="O78" i="1" a="1"/>
  <c r="N78" i="1"/>
  <c r="M78" i="1"/>
  <c r="O77" i="1" a="1"/>
  <c r="O77" i="1" s="1"/>
  <c r="N77" i="1"/>
  <c r="M77" i="1"/>
  <c r="O76" i="1" a="1"/>
  <c r="O76" i="1" s="1"/>
  <c r="N76" i="1"/>
  <c r="M76" i="1"/>
  <c r="O75" i="1"/>
  <c r="O75" i="1" a="1"/>
  <c r="N75" i="1"/>
  <c r="M75" i="1"/>
  <c r="O74" i="1" a="1"/>
  <c r="O74" i="1" s="1"/>
  <c r="N74" i="1"/>
  <c r="M74" i="1"/>
  <c r="O73" i="1" a="1"/>
  <c r="O73" i="1" s="1"/>
  <c r="N73" i="1"/>
  <c r="M73" i="1"/>
  <c r="O72" i="1" a="1"/>
  <c r="O72" i="1" s="1"/>
  <c r="N72" i="1"/>
  <c r="M72" i="1"/>
  <c r="O71" i="1"/>
  <c r="O71" i="1" a="1"/>
  <c r="N71" i="1"/>
  <c r="M71" i="1"/>
  <c r="O70" i="1" a="1"/>
  <c r="O70" i="1" s="1"/>
  <c r="N70" i="1"/>
  <c r="M70" i="1"/>
  <c r="O69" i="1"/>
  <c r="O69" i="1" a="1"/>
  <c r="N69" i="1"/>
  <c r="M69" i="1"/>
  <c r="O68" i="1" a="1"/>
  <c r="O68" i="1" s="1"/>
  <c r="N68" i="1"/>
  <c r="M68" i="1"/>
  <c r="O67" i="1" a="1"/>
  <c r="O67" i="1" s="1"/>
  <c r="N67" i="1"/>
  <c r="M67" i="1"/>
  <c r="O66" i="1" a="1"/>
  <c r="O66" i="1" s="1"/>
  <c r="N66" i="1"/>
  <c r="M66" i="1"/>
  <c r="O65" i="1"/>
  <c r="O65" i="1" a="1"/>
  <c r="N65" i="1"/>
  <c r="M65" i="1"/>
  <c r="O64" i="1" a="1"/>
  <c r="O64" i="1" s="1"/>
  <c r="N64" i="1"/>
  <c r="M64" i="1"/>
  <c r="O63" i="1" a="1"/>
  <c r="O63" i="1" s="1"/>
  <c r="N63" i="1"/>
  <c r="M63" i="1"/>
  <c r="O62" i="1"/>
  <c r="O62" i="1" a="1"/>
  <c r="N62" i="1"/>
  <c r="M62" i="1"/>
  <c r="O61" i="1" a="1"/>
  <c r="O61" i="1" s="1"/>
  <c r="N61" i="1"/>
  <c r="M61" i="1"/>
  <c r="O60" i="1"/>
  <c r="O60" i="1" a="1"/>
  <c r="N60" i="1"/>
  <c r="M60" i="1"/>
  <c r="O59" i="1" a="1"/>
  <c r="O59" i="1" s="1"/>
  <c r="N59" i="1"/>
  <c r="M59" i="1"/>
  <c r="O58" i="1" a="1"/>
  <c r="O58" i="1" s="1"/>
  <c r="N58" i="1"/>
  <c r="M58" i="1"/>
  <c r="O57" i="1"/>
  <c r="O57" i="1" a="1"/>
  <c r="N57" i="1"/>
  <c r="M57" i="1"/>
  <c r="O56" i="1"/>
  <c r="O56" i="1" a="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c r="O48" i="1" a="1"/>
  <c r="N48" i="1"/>
  <c r="M48" i="1"/>
  <c r="O47" i="1"/>
  <c r="O47" i="1" a="1"/>
  <c r="N47" i="1"/>
  <c r="M47" i="1"/>
  <c r="O46" i="1" a="1"/>
  <c r="O46" i="1" s="1"/>
  <c r="N46" i="1"/>
  <c r="M46" i="1"/>
  <c r="O45" i="1" a="1"/>
  <c r="O45" i="1" s="1"/>
  <c r="N45" i="1"/>
  <c r="M45" i="1"/>
  <c r="O44" i="1"/>
  <c r="O44" i="1" a="1"/>
  <c r="N44" i="1"/>
  <c r="M44" i="1"/>
  <c r="O43" i="1" a="1"/>
  <c r="O43" i="1" s="1"/>
  <c r="N43" i="1"/>
  <c r="M43" i="1"/>
  <c r="O42" i="1"/>
  <c r="O42" i="1" a="1"/>
  <c r="N42" i="1"/>
  <c r="M42" i="1"/>
  <c r="O41" i="1" a="1"/>
  <c r="O41" i="1" s="1"/>
  <c r="N41" i="1"/>
  <c r="M41" i="1"/>
  <c r="O40" i="1" a="1"/>
  <c r="O40" i="1" s="1"/>
  <c r="N40" i="1"/>
  <c r="M40" i="1"/>
  <c r="O39" i="1"/>
  <c r="O39" i="1" a="1"/>
  <c r="N39" i="1"/>
  <c r="M39" i="1"/>
  <c r="O38" i="1" a="1"/>
  <c r="O38" i="1" s="1"/>
  <c r="N38" i="1"/>
  <c r="M38" i="1"/>
  <c r="O37" i="1" a="1"/>
  <c r="O37" i="1" s="1"/>
  <c r="N37" i="1"/>
  <c r="M37" i="1"/>
  <c r="O36" i="1" a="1"/>
  <c r="O36" i="1" s="1"/>
  <c r="N36" i="1"/>
  <c r="M36" i="1"/>
  <c r="O35" i="1"/>
  <c r="O35" i="1" a="1"/>
  <c r="N35" i="1"/>
  <c r="M35" i="1"/>
  <c r="O34" i="1" a="1"/>
  <c r="O34" i="1" s="1"/>
  <c r="N34" i="1"/>
  <c r="M34" i="1"/>
  <c r="O33" i="1"/>
  <c r="O33" i="1" a="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c r="O26" i="1" a="1"/>
  <c r="N26" i="1"/>
  <c r="M26" i="1"/>
  <c r="O25" i="1" a="1"/>
  <c r="O25" i="1" s="1"/>
  <c r="N25" i="1"/>
  <c r="M25" i="1"/>
  <c r="O24" i="1"/>
  <c r="O24" i="1" a="1"/>
  <c r="N24" i="1"/>
  <c r="M24" i="1"/>
  <c r="O23" i="1" a="1"/>
  <c r="O23" i="1" s="1"/>
  <c r="N23" i="1"/>
  <c r="M23" i="1"/>
  <c r="O22" i="1" a="1"/>
  <c r="O22" i="1" s="1"/>
  <c r="N22" i="1"/>
  <c r="M22" i="1"/>
  <c r="O21" i="1"/>
  <c r="O21" i="1" a="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c r="O12" i="1" a="1"/>
  <c r="N12" i="1"/>
  <c r="M12" i="1"/>
  <c r="O11" i="1"/>
  <c r="O11" i="1" a="1"/>
  <c r="N11" i="1"/>
  <c r="M11" i="1"/>
  <c r="O10" i="1" a="1"/>
  <c r="O10" i="1" s="1"/>
  <c r="N10" i="1"/>
  <c r="M10" i="1"/>
  <c r="O9" i="1" a="1"/>
  <c r="O9" i="1" s="1"/>
  <c r="N9" i="1"/>
  <c r="M9" i="1"/>
  <c r="O8" i="1"/>
  <c r="O8" i="1" a="1"/>
  <c r="N8" i="1"/>
  <c r="M8" i="1"/>
  <c r="O7" i="1"/>
  <c r="O7" i="1" a="1"/>
  <c r="N7" i="1"/>
  <c r="M7" i="1"/>
  <c r="O6" i="1" a="1"/>
  <c r="O6" i="1" s="1"/>
  <c r="N6" i="1"/>
  <c r="M6" i="1"/>
  <c r="O5" i="1"/>
  <c r="O5" i="1" a="1"/>
  <c r="N5" i="1"/>
  <c r="M5" i="1"/>
  <c r="O4" i="1"/>
  <c r="O4" i="1" a="1"/>
  <c r="N4" i="1"/>
  <c r="M4" i="1"/>
  <c r="O3" i="1" a="1"/>
  <c r="O3" i="1" s="1"/>
  <c r="N3" i="1"/>
  <c r="M3" i="1"/>
  <c r="O2"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<sst xmlns="http://schemas.openxmlformats.org/spreadsheetml/2006/main" count="14644" uniqueCount="2546">
  <si>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</si>
  <si>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</si>
  <si>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</si>
  <si>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</si>
  <si>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</si>
  <si>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</si>
  <si>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</si>
  <si>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</si>
  <si>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</si>
  <si>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</si>
  <si>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</si>
  <si>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</si>
  <si>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</si>
  <si>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</si>
  <si>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</si>
  <si>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</si>
  <si>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</si>
  <si>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</si>
  <si>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</si>
  <si>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</si>
  <si>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</si>
  <si>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</si>
  <si>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</si>
  <si>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</si>
  <si>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</si>
  <si>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</si>
  <si>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</si>
  <si>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</si>
  <si>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</si>
  <si>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</si>
  <si>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</si>
  <si>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</si>
  <si>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</si>
  <si>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</si>
  <si>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</si>
  <si>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</si>
  <si>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</si>
  <si>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</si>
  <si>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</si>
  <si>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</si>
  <si>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</si>
  <si>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</si>
  <si>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</si>
  <si>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</si>
  <si>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</si>
  <si>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</si>
  <si>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</si>
  <si>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</si>
  <si>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</si>
  <si>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</si>
  <si>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</si>
  <si>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</si>
  <si>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</si>
  <si>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</si>
  <si>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</si>
  <si>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</si>
  <si>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</si>
  <si>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</si>
  <si>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</si>
  <si>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</si>
  <si>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</si>
  <si>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</si>
  <si>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</si>
  <si>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</si>
  <si>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</si>
  <si>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</si>
  <si>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</si>
  <si>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</si>
  <si>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</si>
  <si>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</si>
  <si>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</si>
  <si>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</si>
  <si>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</si>
  <si>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</si>
  <si>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</si>
  <si>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</si>
  <si>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</si>
  <si>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</si>
  <si>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</si>
  <si>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</si>
  <si>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</si>
  <si>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</si>
  <si>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</si>
  <si>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</si>
  <si>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</si>
  <si>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</si>
  <si>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</si>
  <si>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</si>
  <si>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</si>
  <si>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</si>
  <si>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</si>
  <si>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</si>
  <si>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</si>
  <si>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</si>
  <si>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</si>
  <si>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</si>
  <si>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</si>
  <si>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</si>
  <si>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</si>
  <si>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</si>
  <si>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</si>
  <si>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</si>
  <si>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</si>
  <si>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</si>
  <si>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</si>
  <si>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</si>
  <si>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</si>
  <si>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</si>
  <si>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</si>
  <si>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</si>
  <si>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</si>
  <si>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</si>
  <si>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</si>
  <si>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</si>
  <si>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</si>
  <si>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</si>
  <si>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</si>
  <si>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</si>
  <si>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</si>
  <si>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</si>
  <si>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</si>
  <si>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</si>
  <si>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</si>
  <si>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</si>
  <si>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</si>
  <si>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</si>
  <si>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</si>
  <si>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</si>
  <si>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</si>
  <si>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</si>
  <si>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</si>
  <si>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</si>
  <si>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</si>
  <si>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</si>
  <si>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</si>
  <si>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</si>
  <si>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</si>
  <si>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</si>
  <si>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</si>
  <si>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</si>
  <si>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</si>
  <si>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</si>
  <si>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</si>
  <si>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</si>
  <si>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</si>
  <si>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</si>
  <si>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</si>
  <si>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</si>
  <si>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</si>
  <si>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</si>
  <si>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</si>
  <si>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</si>
  <si>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</si>
  <si>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</si>
  <si>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</si>
  <si>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</si>
  <si>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</si>
  <si>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</si>
  <si>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</si>
  <si>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</si>
  <si>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</si>
  <si>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</si>
  <si>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</si>
  <si>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</si>
  <si>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</si>
  <si>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</si>
  <si>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</si>
  <si>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</si>
  <si>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</si>
  <si>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</si>
  <si>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</si>
  <si>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</si>
  <si>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</si>
  <si>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</si>
  <si>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</si>
  <si>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</si>
  <si>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</si>
  <si>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</si>
  <si>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</si>
  <si>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</si>
  <si>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</si>
  <si>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</si>
  <si>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</si>
  <si>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</si>
  <si>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</si>
  <si>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</si>
  <si>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</si>
  <si>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</si>
  <si>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</si>
  <si>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</si>
  <si>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</si>
  <si>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</si>
  <si>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</si>
  <si>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</si>
  <si>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</si>
  <si>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</si>
  <si>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</si>
  <si>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</si>
  <si>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</si>
  <si>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</si>
  <si>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</si>
  <si>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</si>
  <si>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</si>
  <si>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</si>
  <si>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</si>
  <si>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</si>
  <si>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</si>
  <si>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</si>
  <si>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</si>
  <si>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</si>
  <si>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</si>
  <si>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</si>
  <si>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</si>
  <si>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</si>
  <si>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</si>
  <si>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</si>
  <si>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</si>
  <si>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</si>
  <si>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</si>
  <si>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</si>
  <si>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</si>
  <si>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</si>
  <si>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</si>
  <si>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</si>
  <si>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</si>
  <si>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</si>
  <si>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</si>
  <si>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</si>
  <si>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</si>
  <si>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</si>
  <si>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</si>
  <si>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</si>
  <si>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</si>
  <si>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</si>
  <si>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</si>
  <si>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</si>
  <si>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</si>
  <si>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</si>
  <si>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</si>
  <si>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</si>
  <si>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</si>
  <si>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</si>
  <si>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</si>
  <si>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</si>
  <si>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</si>
  <si>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</si>
  <si>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</si>
  <si>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</si>
  <si>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</si>
  <si>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</si>
  <si>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</si>
  <si>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</si>
  <si>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</si>
  <si>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</si>
  <si>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</si>
  <si>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</si>
  <si>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</si>
  <si>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</si>
  <si>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</si>
  <si>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</si>
  <si>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</si>
  <si>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</si>
  <si>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</si>
  <si>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</si>
  <si>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</si>
  <si>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</si>
  <si>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</si>
  <si>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</si>
  <si>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</si>
  <si>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</si>
  <si>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</si>
  <si>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</si>
  <si>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</si>
  <si>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</si>
  <si>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</si>
  <si>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</si>
  <si>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</si>
  <si>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</si>
  <si>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</si>
  <si>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</si>
  <si>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</si>
  <si>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</si>
  <si>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</si>
  <si>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</si>
  <si>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</si>
  <si>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</si>
  <si>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</si>
  <si>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</si>
  <si>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</si>
  <si>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</si>
  <si>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</si>
  <si>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</si>
  <si>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</si>
  <si>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</si>
  <si>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</si>
  <si>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</si>
  <si>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</si>
  <si>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</si>
  <si>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</si>
  <si>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</si>
  <si>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</si>
  <si>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</si>
  <si>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</si>
  <si>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</si>
  <si>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</si>
  <si>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</si>
  <si>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</si>
  <si>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</si>
  <si>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</si>
  <si>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</si>
  <si>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</si>
  <si>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</si>
  <si>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</si>
  <si>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</si>
  <si>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</si>
  <si>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</si>
  <si>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</si>
  <si>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</si>
  <si>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</si>
  <si>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</si>
  <si>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</si>
  <si>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</si>
  <si>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</si>
  <si>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</si>
  <si>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</si>
  <si>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</si>
  <si>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</si>
  <si>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</si>
  <si>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</si>
  <si>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</si>
  <si>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</si>
  <si>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</si>
  <si>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</si>
  <si>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</si>
  <si>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</si>
  <si>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</si>
  <si>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</si>
  <si>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</si>
  <si>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</si>
  <si>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</si>
  <si>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</si>
  <si>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</si>
  <si>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</si>
  <si>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</si>
  <si>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</si>
  <si>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</si>
  <si>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</si>
  <si>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</si>
  <si>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</si>
  <si>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</si>
  <si>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</si>
  <si>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</si>
  <si>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</si>
  <si>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</si>
  <si>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</si>
  <si>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</si>
  <si>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</si>
  <si>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</si>
  <si>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</si>
  <si>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</si>
  <si>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</si>
  <si>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</si>
  <si>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</si>
  <si>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</si>
  <si>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</si>
  <si>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</si>
  <si>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</si>
  <si>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</si>
  <si>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</si>
  <si>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</si>
  <si>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</si>
  <si>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</si>
  <si>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</si>
  <si>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</si>
  <si>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</si>
  <si>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</si>
  <si>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</si>
  <si>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</si>
  <si>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</si>
  <si>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</si>
  <si>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</si>
  <si>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</si>
  <si>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</si>
  <si>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</si>
  <si>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</si>
  <si>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</si>
  <si>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</si>
  <si>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</si>
  <si>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</si>
  <si>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</si>
  <si>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</si>
  <si>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</si>
  <si>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</si>
  <si>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</si>
  <si>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</si>
  <si>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</si>
  <si>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</si>
  <si>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</si>
  <si>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</si>
  <si>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</si>
  <si>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</si>
  <si>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</si>
  <si>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</si>
  <si>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</si>
  <si>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</si>
  <si>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</si>
  <si>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</si>
  <si>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</si>
  <si>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</si>
  <si>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</si>
  <si>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</si>
  <si>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</si>
  <si>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</si>
  <si>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</si>
  <si>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</si>
  <si>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</si>
  <si>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</si>
  <si>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</si>
  <si>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</si>
  <si>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</si>
  <si>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</si>
  <si>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</si>
  <si>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</si>
  <si>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</si>
  <si>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</si>
  <si>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</si>
  <si>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</si>
  <si>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</si>
  <si>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</si>
  <si>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</si>
  <si>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</si>
  <si>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</si>
  <si>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</si>
  <si>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</si>
  <si>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</si>
  <si>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</si>
  <si>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</si>
  <si>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</si>
  <si>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</si>
  <si>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</si>
  <si>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</si>
  <si>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</si>
  <si>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</si>
  <si>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</si>
  <si>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</si>
  <si>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</si>
  <si>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</si>
  <si>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</si>
  <si>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</si>
  <si>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</si>
  <si>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</si>
  <si>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</si>
  <si>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</si>
  <si>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</si>
  <si>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</si>
  <si>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</si>
  <si>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</si>
  <si>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</si>
  <si>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</si>
  <si>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</si>
  <si>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</si>
  <si>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</si>
  <si>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</si>
  <si>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</si>
  <si>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</si>
  <si>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</si>
  <si>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</si>
  <si>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</si>
  <si>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</si>
  <si>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</si>
  <si>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</si>
  <si>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</si>
  <si>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</si>
  <si>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</si>
  <si>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</si>
  <si>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</si>
  <si>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</si>
  <si>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</si>
  <si>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</si>
  <si>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</si>
  <si>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</si>
  <si>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</si>
  <si>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</si>
  <si>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</si>
  <si>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</si>
  <si>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</si>
  <si>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</si>
  <si>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</si>
  <si>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</si>
  <si>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</si>
  <si>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</si>
  <si>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</si>
  <si>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</si>
  <si>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</si>
  <si>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</si>
  <si>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</si>
  <si>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</si>
  <si>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</si>
  <si>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</si>
  <si>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</si>
  <si>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</si>
  <si>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</si>
  <si>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</si>
  <si>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</si>
  <si>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</si>
  <si>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</si>
  <si>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</si>
  <si>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</si>
  <si>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</si>
  <si>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</si>
  <si>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</si>
  <si>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</si>
  <si>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</si>
  <si>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</si>
  <si>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</si>
  <si>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</si>
  <si>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</si>
  <si>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</si>
  <si>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</si>
  <si>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</si>
  <si>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</si>
  <si>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</si>
  <si>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</si>
  <si>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</si>
  <si>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</si>
  <si>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</si>
  <si>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</si>
  <si>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</si>
  <si>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</si>
  <si>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</si>
  <si>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</si>
  <si>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</si>
  <si>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</si>
  <si>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</si>
  <si>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</si>
  <si>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</si>
  <si>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</si>
  <si>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</si>
  <si>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</si>
  <si>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</si>
  <si>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</si>
  <si>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</si>
  <si>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</si>
  <si>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</si>
  <si>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</si>
  <si>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</si>
  <si>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</si>
  <si>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</si>
  <si>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</si>
  <si>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</si>
  <si>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</si>
  <si>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</si>
  <si>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</si>
  <si>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</si>
  <si>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</si>
  <si>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</si>
  <si>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</si>
  <si>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</si>
  <si>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</si>
  <si>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</si>
  <si>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</si>
  <si>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</si>
  <si>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</si>
  <si>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</si>
  <si>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</si>
  <si>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</si>
  <si>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</si>
  <si>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</si>
  <si>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</si>
  <si>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</si>
  <si>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</si>
  <si>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</si>
  <si>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</si>
  <si>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</si>
  <si>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</si>
  <si>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</si>
  <si>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</si>
  <si>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</si>
  <si>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</si>
  <si>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</si>
  <si>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</si>
  <si>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</si>
  <si>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</si>
  <si>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</si>
  <si>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</si>
  <si>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</si>
  <si>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</si>
  <si>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</si>
  <si>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</si>
  <si>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</si>
  <si>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</si>
  <si>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</si>
  <si>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</si>
  <si>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</si>
  <si>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</si>
  <si>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</si>
  <si>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</si>
  <si>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</si>
  <si>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</si>
  <si>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</si>
  <si>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</si>
  <si>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</si>
  <si>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</si>
  <si>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</si>
  <si>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</si>
  <si>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</si>
  <si>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</si>
  <si>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</si>
  <si>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</si>
  <si>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</si>
  <si>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</si>
  <si>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</si>
  <si>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</si>
  <si>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</si>
  <si>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</si>
  <si>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</si>
  <si>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</si>
  <si>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</si>
  <si>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</si>
  <si>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</si>
  <si>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</si>
  <si>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</si>
  <si>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</si>
  <si>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</si>
  <si>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</si>
  <si>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</si>
  <si>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</si>
  <si>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</si>
  <si>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</si>
  <si>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</si>
  <si>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</si>
  <si>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</si>
  <si>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</si>
  <si>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</si>
  <si>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</si>
  <si>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</si>
  <si>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</si>
  <si>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</si>
  <si>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</si>
  <si>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</si>
  <si>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</si>
  <si>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</si>
  <si>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</si>
  <si>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</si>
  <si>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</si>
  <si>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</si>
  <si>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</si>
  <si>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</si>
  <si>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</si>
  <si>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</si>
  <si>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</si>
  <si>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</si>
  <si>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</si>
  <si>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</si>
  <si>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</si>
  <si>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</si>
  <si>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</si>
  <si>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</si>
  <si>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</si>
  <si>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</si>
  <si>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</si>
  <si>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</si>
  <si>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</si>
  <si>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</si>
  <si>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</si>
  <si>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</si>
  <si>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</si>
  <si>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</si>
  <si>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</si>
  <si>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</si>
  <si>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</si>
  <si>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</si>
  <si>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</si>
  <si>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</si>
  <si>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</si>
  <si>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</si>
  <si>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</si>
  <si>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</si>
  <si>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</si>
  <si>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</si>
  <si>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</si>
  <si>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</si>
  <si>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</si>
  <si>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</si>
  <si>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</si>
  <si>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</si>
  <si>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</si>
  <si>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</si>
  <si>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</si>
  <si>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</si>
  <si>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</si>
  <si>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</si>
  <si>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</si>
  <si>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</si>
  <si>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</si>
  <si>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</si>
  <si>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</si>
  <si>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</si>
  <si>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</si>
  <si>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</si>
  <si>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</si>
  <si>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</si>
  <si>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</si>
  <si>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</si>
  <si>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</si>
  <si>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</si>
  <si>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</si>
  <si>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</si>
  <si>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</si>
  <si>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</si>
  <si>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</si>
  <si>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</si>
  <si>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</si>
  <si>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</si>
  <si>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</si>
  <si>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</si>
  <si>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</si>
  <si>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</si>
  <si>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</si>
  <si>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</si>
  <si>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</si>
  <si>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</si>
  <si>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</si>
  <si>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</si>
  <si>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</si>
  <si>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</si>
  <si>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</si>
  <si>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</si>
  <si>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</si>
  <si>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</si>
  <si>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</si>
  <si>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</si>
  <si>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</si>
  <si>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</si>
  <si>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</si>
  <si>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</si>
  <si>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</si>
  <si>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</si>
  <si>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</si>
  <si>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</si>
  <si>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</si>
  <si>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</si>
  <si>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</si>
  <si>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</si>
  <si>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</si>
  <si>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</si>
  <si>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</si>
  <si>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</si>
  <si>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</si>
  <si>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</si>
  <si>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</si>
  <si>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</si>
  <si>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</si>
  <si>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</si>
  <si>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</si>
  <si>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</si>
  <si>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</si>
  <si>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</si>
  <si>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</si>
  <si>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</si>
  <si>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</si>
  <si>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</si>
  <si>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</si>
  <si>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</si>
  <si>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</si>
  <si>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</si>
  <si>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</si>
  <si>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</si>
  <si>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</si>
  <si>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</si>
  <si>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</si>
  <si>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</si>
  <si>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</si>
  <si>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</si>
  <si>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</si>
  <si>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</si>
  <si>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</si>
  <si>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</si>
  <si>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</si>
  <si>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</si>
  <si>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</si>
  <si>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</si>
  <si>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</si>
  <si>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</si>
  <si>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</si>
  <si>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</si>
  <si>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</si>
  <si>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</si>
  <si>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</si>
  <si>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</si>
  <si>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</si>
  <si>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</si>
  <si>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</si>
  <si>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</si>
  <si>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</si>
  <si>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</si>
  <si>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</si>
  <si>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</si>
  <si>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</si>
  <si>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</si>
  <si>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</si>
  <si>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</si>
  <si>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</si>
  <si>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</si>
  <si>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</si>
  <si>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</si>
  <si>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</si>
  <si>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</si>
  <si>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</si>
  <si>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</si>
  <si>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</si>
  <si>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</si>
  <si>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</si>
  <si>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</si>
  <si>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</si>
  <si>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</si>
  <si>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</si>
  <si>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</si>
  <si>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</si>
  <si>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</si>
  <si>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</si>
  <si>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</si>
  <si>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</si>
  <si>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</si>
  <si>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</si>
  <si>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</si>
  <si>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</si>
  <si>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</si>
  <si>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</si>
  <si>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</si>
  <si>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</si>
  <si>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</si>
  <si>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</si>
  <si>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</si>
  <si>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</si>
  <si>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</si>
  <si>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</si>
  <si>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</si>
  <si>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</si>
  <si>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</si>
  <si>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</si>
  <si>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</si>
  <si>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</si>
  <si>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</si>
  <si>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</si>
  <si>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</si>
  <si>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</si>
  <si>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</si>
  <si>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</si>
  <si>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</si>
  <si>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</si>
  <si>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</si>
  <si>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</si>
  <si>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</si>
  <si>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</si>
  <si>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</si>
  <si>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</si>
  <si>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</si>
  <si>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</si>
  <si>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</si>
  <si>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</si>
  <si>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</si>
  <si>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</si>
  <si>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</si>
  <si>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</si>
  <si>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</si>
  <si>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</si>
  <si>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</si>
  <si>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</si>
  <si>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</si>
  <si>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</si>
  <si>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</si>
  <si>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</si>
  <si>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</si>
  <si>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</si>
  <si>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</si>
  <si>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</si>
  <si>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</si>
  <si>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</si>
  <si>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</si>
  <si>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</si>
  <si>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</si>
  <si>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</si>
  <si>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</si>
  <si>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</si>
  <si>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</si>
  <si>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</si>
  <si>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</si>
  <si>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</si>
  <si>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</si>
  <si>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</si>
  <si>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</si>
  <si>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</si>
  <si>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</si>
  <si>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</si>
  <si>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</si>
  <si>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</si>
  <si>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</si>
  <si>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</si>
  <si>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</si>
  <si>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</si>
  <si>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</si>
  <si>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</si>
  <si>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</si>
  <si>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</si>
  <si>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</si>
  <si>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</si>
  <si>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</si>
  <si>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</si>
  <si>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</si>
  <si>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</si>
  <si>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</si>
  <si>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</si>
  <si>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</si>
  <si>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</si>
  <si>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</si>
  <si>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</si>
  <si>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</si>
  <si>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</si>
  <si>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</si>
  <si>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</si>
  <si>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</si>
  <si>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</si>
  <si>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</si>
  <si>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</si>
  <si>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</si>
  <si>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</si>
  <si>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</si>
  <si>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</si>
  <si>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</si>
  <si>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</si>
  <si>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</si>
  <si>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</si>
  <si>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</si>
  <si>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</si>
  <si>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</si>
  <si>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</si>
  <si>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</si>
  <si>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</si>
  <si>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</si>
  <si>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</si>
  <si>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</si>
  <si>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</si>
  <si>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</si>
  <si>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</si>
  <si>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</si>
  <si>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</si>
  <si>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</si>
  <si>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</si>
  <si>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</si>
  <si>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</si>
  <si>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</si>
  <si>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</si>
  <si>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</si>
  <si>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</si>
  <si>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</si>
  <si>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</si>
  <si>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</si>
  <si>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</si>
  <si>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</si>
  <si>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</si>
  <si>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</si>
  <si>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</si>
  <si>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</si>
  <si>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</si>
  <si>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</si>
  <si>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</si>
  <si>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</si>
  <si>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</si>
  <si>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</si>
  <si>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</si>
  <si>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</si>
  <si>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</si>
  <si>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</si>
  <si>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</si>
  <si>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</si>
  <si>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</si>
  <si>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</si>
  <si>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</si>
  <si>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</si>
  <si>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</si>
  <si>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</si>
  <si>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</si>
  <si>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</si>
  <si>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</si>
  <si>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</si>
  <si>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</si>
  <si>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</si>
  <si>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</si>
  <si>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</si>
  <si>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</si>
  <si>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</si>
  <si>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</si>
  <si>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</si>
  <si>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</si>
  <si>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</si>
  <si>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</si>
  <si>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</si>
  <si>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</si>
  <si>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</si>
  <si>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</si>
  <si>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</si>
  <si>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</si>
  <si>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</si>
  <si>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</si>
  <si>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</si>
  <si>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</si>
  <si>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</si>
  <si>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</si>
  <si>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</si>
  <si>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</si>
  <si>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</si>
  <si>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</si>
  <si>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</si>
  <si>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</si>
  <si>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</si>
  <si>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</si>
  <si>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</si>
  <si>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</si>
  <si>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</si>
  <si>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</si>
  <si>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</si>
  <si>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</si>
  <si>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</si>
  <si>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</si>
  <si>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</si>
  <si>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</si>
  <si>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</si>
  <si>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</si>
  <si>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</si>
  <si>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</si>
  <si>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</si>
  <si>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</si>
  <si>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</si>
  <si>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</si>
  <si>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</si>
  <si>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</si>
  <si>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</si>
  <si>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</si>
  <si>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</si>
  <si>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</si>
  <si>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</si>
  <si>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</si>
  <si>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</si>
  <si>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</si>
  <si>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</si>
  <si>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</si>
  <si>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</si>
  <si>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</si>
  <si>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</si>
  <si>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</si>
  <si>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</si>
  <si>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</si>
  <si>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</si>
  <si>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</si>
  <si>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</si>
  <si>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</si>
  <si>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</si>
  <si>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</si>
  <si>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</si>
  <si>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</si>
  <si>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</si>
  <si>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</si>
  <si>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</si>
  <si>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</si>
  <si>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</si>
  <si>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</si>
  <si>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</si>
  <si>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</si>
  <si>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</si>
  <si>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</si>
  <si>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</si>
  <si>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</si>
  <si>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</si>
  <si>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</si>
  <si>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</si>
  <si>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</si>
  <si>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</si>
  <si>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</si>
  <si>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</si>
  <si>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</si>
  <si>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</si>
  <si>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</si>
  <si>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</si>
  <si>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</si>
  <si>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</si>
  <si>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</si>
  <si>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</si>
  <si>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</si>
  <si>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</si>
  <si>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</si>
  <si>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</si>
  <si>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</si>
  <si>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</si>
  <si>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</si>
  <si>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</si>
  <si>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</si>
  <si>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</si>
  <si>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</si>
  <si>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</si>
  <si>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</si>
  <si>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</si>
  <si>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</si>
  <si>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</si>
  <si>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</si>
  <si>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</si>
  <si>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</si>
  <si>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</si>
  <si>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</si>
  <si>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</si>
  <si>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</si>
  <si>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</si>
  <si>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</si>
  <si>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</si>
  <si>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</si>
  <si>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</si>
  <si>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</si>
  <si>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</si>
  <si>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</si>
  <si>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</si>
  <si>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</si>
  <si>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</si>
  <si>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</si>
  <si>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</si>
  <si>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</si>
  <si>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</si>
  <si>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</si>
  <si>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</si>
  <si>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</si>
  <si>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</si>
  <si>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</si>
  <si>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</si>
  <si>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</si>
  <si>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</si>
  <si>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</si>
  <si>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</si>
  <si>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</si>
  <si>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</si>
  <si>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</si>
  <si>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</si>
  <si>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</si>
  <si>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</si>
  <si>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</si>
  <si>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</si>
  <si>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</si>
  <si>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</si>
  <si>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</si>
  <si>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</si>
  <si>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</si>
  <si>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</si>
  <si>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</si>
  <si>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</si>
  <si>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</si>
  <si>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</si>
  <si>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</si>
  <si>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</si>
  <si>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</si>
  <si>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</si>
  <si>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</si>
  <si>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</si>
  <si>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</si>
  <si>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</si>
  <si>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</si>
  <si>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</si>
  <si>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</si>
  <si>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</si>
  <si>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</si>
  <si>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</si>
  <si>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</si>
  <si>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</si>
  <si>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</si>
  <si>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</si>
  <si>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</si>
  <si>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</si>
  <si>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</si>
  <si>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</si>
  <si>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</si>
  <si>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</si>
  <si>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</si>
  <si>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</si>
  <si>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</si>
  <si>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</si>
  <si>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</si>
  <si>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</si>
  <si>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</si>
  <si>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</si>
  <si>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</si>
  <si>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</si>
  <si>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</si>
  <si>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</si>
  <si>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</si>
  <si>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</si>
  <si>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</si>
  <si>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</si>
  <si>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</si>
  <si>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</si>
  <si>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</si>
  <si>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</si>
  <si>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</si>
  <si>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</si>
  <si>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</si>
  <si>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</si>
  <si>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</si>
  <si>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</si>
  <si>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</si>
  <si>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</si>
  <si>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</si>
  <si>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</si>
  <si>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</si>
  <si>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</si>
  <si>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</si>
  <si>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</si>
  <si>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</si>
  <si>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</si>
  <si>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</si>
  <si>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</si>
  <si>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</si>
  <si>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</si>
  <si>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</si>
  <si>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</si>
  <si>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</si>
  <si>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</si>
  <si>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</si>
  <si>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</si>
  <si>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</si>
  <si>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</si>
  <si>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</si>
  <si>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</si>
  <si>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</si>
  <si>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</si>
  <si>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</si>
  <si>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</si>
  <si>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</si>
  <si>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</si>
  <si>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</si>
  <si>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</si>
  <si>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</si>
  <si>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</si>
  <si>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</si>
  <si>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</si>
  <si>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</si>
  <si>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</si>
  <si>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</si>
  <si>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</si>
  <si>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</si>
  <si>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</si>
  <si>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</si>
  <si>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</si>
  <si>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</si>
  <si>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</si>
  <si>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</si>
  <si>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</si>
  <si>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</si>
  <si>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</si>
  <si>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</si>
  <si>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</si>
  <si>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</si>
  <si>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</si>
  <si>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</si>
  <si>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</si>
  <si>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</si>
  <si>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</si>
  <si>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</si>
  <si>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</si>
  <si>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</si>
  <si>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</si>
  <si>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</si>
  <si>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</si>
  <si>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</si>
  <si>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</si>
  <si>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</si>
  <si>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</si>
  <si>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</si>
  <si>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</si>
  <si>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</si>
  <si>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</si>
  <si>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</si>
  <si>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</si>
  <si>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</si>
  <si>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</si>
  <si>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</si>
  <si>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</si>
  <si>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</si>
  <si>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</si>
  <si>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</si>
  <si>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</si>
  <si>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</si>
  <si>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</si>
  <si>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</si>
  <si>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</si>
  <si>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</si>
  <si>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</si>
  <si>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</si>
  <si>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</si>
  <si>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</si>
  <si>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</si>
  <si>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</si>
  <si>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</si>
  <si>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</si>
  <si>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</si>
  <si>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</si>
  <si>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</si>
  <si>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</si>
  <si>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</si>
  <si>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</si>
  <si>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</si>
  <si>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</si>
  <si>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</si>
  <si>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</si>
  <si>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</si>
  <si>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</si>
  <si>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</si>
  <si>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</si>
  <si>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</si>
  <si>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</si>
  <si>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</si>
  <si>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</si>
  <si>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</si>
  <si>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</si>
  <si>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</si>
  <si>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</si>
  <si>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</si>
  <si>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</si>
  <si>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</si>
  <si>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</si>
  <si>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</si>
  <si>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</si>
  <si>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</si>
  <si>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</si>
  <si>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</si>
  <si>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</si>
  <si>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</si>
  <si>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</si>
  <si>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</si>
  <si>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</si>
  <si>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</si>
  <si>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</si>
  <si>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</si>
  <si>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</si>
  <si>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</si>
  <si>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</si>
  <si>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</si>
  <si>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</si>
  <si>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</si>
  <si>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</si>
  <si>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</si>
  <si>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</si>
  <si>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</si>
  <si>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</si>
  <si>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</si>
  <si>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</si>
  <si>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</si>
  <si>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</si>
  <si>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</si>
  <si>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</si>
  <si>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</si>
  <si>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</si>
  <si>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</si>
  <si>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</si>
  <si>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</si>
  <si>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</si>
  <si>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</si>
  <si>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</si>
  <si>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</si>
  <si>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</si>
  <si>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</si>
  <si>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</si>
  <si>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</si>
  <si>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</si>
  <si>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</si>
  <si>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</si>
  <si>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</si>
  <si>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</si>
  <si>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</si>
  <si>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</si>
  <si>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</si>
  <si>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</si>
  <si>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</si>
  <si>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</si>
  <si>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</si>
  <si>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</si>
  <si>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</si>
  <si>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</si>
  <si>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</si>
  <si>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</si>
  <si>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</si>
  <si>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</si>
  <si>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</si>
  <si>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</si>
  <si>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</si>
  <si>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</si>
  <si>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</si>
  <si>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</si>
  <si>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</si>
  <si>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</si>
  <si>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</si>
  <si>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</si>
  <si>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</si>
  <si>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</si>
  <si>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</si>
  <si>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</si>
  <si>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</si>
  <si>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</si>
  <si>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</si>
  <si>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</si>
  <si>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</si>
  <si>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</si>
  <si>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</si>
  <si>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</si>
  <si>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</si>
  <si>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</si>
  <si>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</si>
  <si>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</si>
  <si>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</si>
  <si>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</si>
  <si>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</si>
  <si>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</si>
  <si>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</si>
  <si>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</si>
  <si>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</si>
  <si>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</si>
  <si>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</si>
  <si>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</si>
  <si>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</si>
  <si>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</si>
  <si>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</si>
  <si>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</si>
  <si>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</si>
  <si>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</si>
  <si>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</si>
  <si>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</si>
  <si>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</si>
  <si>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</si>
  <si>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</si>
  <si>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</si>
  <si>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</si>
  <si>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</si>
  <si>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</si>
  <si>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</si>
  <si>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</si>
  <si>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</si>
  <si>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</si>
  <si>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</si>
  <si>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</si>
  <si>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</si>
  <si>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</si>
  <si>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</si>
  <si>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</si>
  <si>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</si>
  <si>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</si>
  <si>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</si>
  <si>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</si>
  <si>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</si>
  <si>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</si>
  <si>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</si>
  <si>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</si>
  <si>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</si>
  <si>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</si>
  <si>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</si>
  <si>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</si>
  <si>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</si>
  <si>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</si>
  <si>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</si>
  <si>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</si>
  <si>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</si>
  <si>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</si>
  <si>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</si>
  <si>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</si>
  <si>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</si>
  <si>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</si>
  <si>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</si>
  <si>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</si>
  <si>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</si>
  <si>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</si>
  <si>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</si>
  <si>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</si>
  <si>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</si>
  <si>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</si>
  <si>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</si>
  <si>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</si>
  <si>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</si>
  <si>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</si>
  <si>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</si>
  <si>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</si>
  <si>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</si>
  <si>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</si>
  <si>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</si>
  <si>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</si>
  <si>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</si>
  <si>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</si>
  <si>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</si>
  <si>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</si>
  <si>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</si>
  <si>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</si>
  <si>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</si>
  <si>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</si>
  <si>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</si>
  <si>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</si>
  <si>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</si>
  <si>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</si>
  <si>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</si>
  <si>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</si>
  <si>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</si>
  <si>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</si>
  <si>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</si>
  <si>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</si>
  <si>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</si>
  <si>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</si>
  <si>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</si>
  <si>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</si>
  <si>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</si>
  <si>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</si>
  <si>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</si>
  <si>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</si>
  <si>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</si>
  <si>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</si>
  <si>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</si>
  <si>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</si>
  <si>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</si>
  <si>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</si>
  <si>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</si>
  <si>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</si>
  <si>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</si>
  <si>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</si>
  <si>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</si>
  <si>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</si>
  <si>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</si>
  <si>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</si>
  <si>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</si>
  <si>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</si>
  <si>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</si>
  <si>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</si>
  <si>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</si>
  <si>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</si>
  <si>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</si>
  <si>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</si>
  <si>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</si>
  <si>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</si>
  <si>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</si>
  <si>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</si>
  <si>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</si>
  <si>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</si>
  <si>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</si>
  <si>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</si>
  <si>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</si>
  <si>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</si>
  <si>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</si>
  <si>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</si>
  <si>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</si>
  <si>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</si>
  <si>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</si>
  <si>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</si>
  <si>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</si>
  <si>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</si>
  <si>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</si>
  <si>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</si>
  <si>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</si>
  <si>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</si>
  <si>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</si>
  <si>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</si>
  <si>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</si>
  <si>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</si>
  <si>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</si>
  <si>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</si>
  <si>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</si>
  <si>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</si>
  <si>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</si>
  <si>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</si>
  <si>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</si>
  <si>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</si>
  <si>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</si>
  <si>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</si>
  <si>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</si>
  <si>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</si>
  <si>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</si>
  <si>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</si>
  <si>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</si>
  <si>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</si>
  <si>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</si>
  <si>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</si>
  <si>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</si>
  <si>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</si>
  <si>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</si>
  <si>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</si>
  <si>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</si>
  <si>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</si>
  <si>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</si>
  <si>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</si>
  <si>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</si>
  <si>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</si>
  <si>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</si>
  <si>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</si>
  <si>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</si>
  <si>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</si>
  <si>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</si>
  <si>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</si>
  <si>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</si>
  <si>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</si>
  <si>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</si>
  <si>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</si>
  <si>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</si>
  <si>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</si>
  <si>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</si>
  <si>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</si>
  <si>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</si>
  <si>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</si>
  <si>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</si>
  <si>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</si>
  <si>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</si>
  <si>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</si>
  <si>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</si>
  <si>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</si>
  <si>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</si>
  <si>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</si>
  <si>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</si>
  <si>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</si>
  <si>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</si>
  <si>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</si>
  <si>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</si>
  <si>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</si>
  <si>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</si>
  <si>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</si>
  <si>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</si>
  <si>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</si>
  <si>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</si>
  <si>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</si>
  <si>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</si>
  <si>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</si>
  <si>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</si>
  <si>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</si>
  <si>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</si>
  <si>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</si>
  <si>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</si>
  <si>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</si>
  <si>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</si>
  <si>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</si>
  <si>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</si>
  <si>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</si>
  <si>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</si>
  <si>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</si>
  <si>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</si>
  <si>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</si>
  <si>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</si>
  <si>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</si>
  <si>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</si>
  <si>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</si>
  <si>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</si>
  <si>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</si>
  <si>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</si>
  <si>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</si>
  <si>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</si>
  <si>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</si>
  <si>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</si>
  <si>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</si>
  <si>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</si>
  <si>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</si>
  <si>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</si>
  <si>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</si>
  <si>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</si>
  <si>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</si>
  <si>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</si>
  <si>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</si>
  <si>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</si>
  <si>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</si>
  <si>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</si>
  <si>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</si>
  <si>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</si>
  <si>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</si>
  <si>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</si>
  <si>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</si>
  <si>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</si>
  <si>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</si>
  <si>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</si>
  <si>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</si>
  <si>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</si>
  <si>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</si>
  <si>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</si>
  <si>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</si>
  <si>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</si>
  <si>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</si>
  <si>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</si>
  <si>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</si>
  <si>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</si>
  <si>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</si>
  <si>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</si>
  <si>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</si>
  <si>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</si>
  <si>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</si>
  <si>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</si>
  <si>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</si>
  <si>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</si>
  <si>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</si>
  <si>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</si>
  <si>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</si>
  <si>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</si>
  <si>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</si>
  <si>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</si>
  <si>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</si>
  <si>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</si>
  <si>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</si>
  <si>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</si>
  <si>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</si>
  <si>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</si>
  <si>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</si>
  <si>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</si>
  <si>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</si>
  <si>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</si>
  <si>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</si>
  <si>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</si>
  <si>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</si>
  <si>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</si>
  <si>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</si>
  <si>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</si>
  <si>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</si>
  <si>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</si>
  <si>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</si>
  <si>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</si>
  <si>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</si>
  <si>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</si>
  <si>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</si>
  <si>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</si>
  <si>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</si>
  <si>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</si>
  <si>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</si>
  <si>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</si>
  <si>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</si>
  <si>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</si>
  <si>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</si>
  <si>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</si>
  <si>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</si>
  <si>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</si>
  <si>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</si>
  <si>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</si>
  <si>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</si>
  <si>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</si>
  <si>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</si>
  <si>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</si>
  <si>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</si>
  <si>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</si>
  <si>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</si>
  <si>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</si>
  <si>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</si>
  <si>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</si>
  <si>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</si>
  <si>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</si>
  <si>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</si>
  <si>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</si>
  <si>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</si>
  <si>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</si>
  <si>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</si>
  <si>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</si>
  <si>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</si>
  <si>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</si>
  <si>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</si>
  <si>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</si>
  <si>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</si>
  <si>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</si>
  <si>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</si>
  <si>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</si>
  <si>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</si>
  <si>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</si>
  <si>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</si>
  <si>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</si>
  <si>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</si>
  <si>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</si>
  <si>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</si>
  <si>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</si>
  <si>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</si>
  <si>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</si>
  <si>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</si>
  <si>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</si>
  <si>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</si>
  <si>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</si>
  <si>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</si>
  <si>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</si>
  <si>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</si>
  <si>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</si>
  <si>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</si>
  <si>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</si>
  <si>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</si>
  <si>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</si>
  <si>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</si>
  <si>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</si>
  <si>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</si>
  <si>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</si>
  <si>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</si>
  <si>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</si>
  <si>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</si>
  <si>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</si>
  <si>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</si>
  <si>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</si>
  <si>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</si>
  <si>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</si>
  <si>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</si>
  <si>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</si>
  <si>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</si>
  <si>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</si>
  <si>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</si>
  <si>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</si>
  <si>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</si>
  <si>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</si>
  <si>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</si>
  <si>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</si>
  <si>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</si>
  <si>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</si>
  <si>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</si>
  <si>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</si>
  <si>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</si>
  <si>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</si>
  <si>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</si>
  <si>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</si>
  <si>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</si>
  <si>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</si>
  <si>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</si>
  <si>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</si>
  <si>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</si>
  <si>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</si>
  <si>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</si>
  <si>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</si>
  <si>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</si>
  <si>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</si>
  <si>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</si>
  <si>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</si>
  <si>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</si>
  <si>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</si>
  <si>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</si>
  <si>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</si>
  <si>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</si>
  <si>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</si>
  <si>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</si>
  <si>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</si>
  <si>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</si>
  <si>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</si>
  <si>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</si>
  <si>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</si>
  <si>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</si>
  <si>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</si>
  <si>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</si>
  <si>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</si>
  <si>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</si>
  <si>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</si>
  <si>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</si>
  <si>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</si>
  <si>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</si>
  <si>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</si>
  <si>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</si>
  <si>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</si>
  <si>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</si>
  <si>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</si>
  <si>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</si>
  <si>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</si>
  <si>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</si>
  <si>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</si>
  <si>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</si>
  <si>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</si>
  <si>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</si>
  <si>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</si>
  <si>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</si>
  <si>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</si>
  <si>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</si>
  <si>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</si>
  <si>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</si>
  <si>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</si>
  <si>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</si>
  <si>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</si>
  <si>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</si>
  <si>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</si>
  <si>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</si>
  <si>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</si>
  <si>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</si>
  <si>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</si>
  <si>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</si>
  <si>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</si>
  <si>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</si>
  <si>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</si>
  <si>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</si>
  <si>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</si>
  <si>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</si>
  <si>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</si>
  <si>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</si>
  <si>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</si>
  <si>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</si>
  <si>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</si>
  <si>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</si>
  <si>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</si>
  <si>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</si>
  <si>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</si>
  <si>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</si>
  <si>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</si>
  <si>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</si>
  <si>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</si>
  <si>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</si>
  <si>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</si>
  <si>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</si>
  <si>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</si>
  <si>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</si>
  <si>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</si>
  <si>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</si>
  <si>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</si>
  <si>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</si>
  <si>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</si>
  <si>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</si>
  <si>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</si>
  <si>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</si>
  <si>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</si>
  <si>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</si>
  <si>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</si>
  <si>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</si>
  <si>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</si>
  <si>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</si>
  <si>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</si>
  <si>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</si>
  <si>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</si>
  <si>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</si>
  <si>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</si>
  <si>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</si>
  <si>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</si>
  <si>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</si>
  <si>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</si>
  <si>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</si>
  <si>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</si>
  <si>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</si>
  <si>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</si>
  <si>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</si>
  <si>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</si>
  <si>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</si>
  <si>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</si>
  <si>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</si>
  <si>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</si>
  <si>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</si>
  <si>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</si>
  <si>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</si>
  <si>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</si>
  <si>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</si>
  <si>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</si>
  <si>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</si>
  <si>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</si>
  <si>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</si>
  <si>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</si>
  <si>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</si>
  <si>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</si>
  <si>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</si>
  <si>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</si>
  <si>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</si>
  <si>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</si>
  <si>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</si>
  <si>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</si>
  <si>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</si>
  <si>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</si>
  <si>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</si>
  <si>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</si>
  <si>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</si>
  <si>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</si>
  <si>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</si>
  <si>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</si>
  <si>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</si>
  <si>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</si>
  <si>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</si>
  <si>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</si>
  <si>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</si>
  <si>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</si>
  <si>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</si>
  <si>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</si>
  <si>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</si>
  <si>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</si>
  <si>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</si>
  <si>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</si>
  <si>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</si>
  <si>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</si>
  <si>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</si>
  <si>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</si>
  <si>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</si>
  <si>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</si>
  <si>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</si>
  <si>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</si>
  <si>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</si>
  <si>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</si>
  <si>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</si>
  <si>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</si>
  <si>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</si>
  <si>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</si>
  <si>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</si>
  <si>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</si>
  <si>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</si>
  <si>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</si>
  <si>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</si>
  <si>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</si>
  <si>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</si>
  <si>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</si>
  <si>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</si>
  <si>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</si>
  <si>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</si>
  <si>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</si>
  <si>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</si>
  <si>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</si>
  <si>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</si>
  <si>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</si>
  <si>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</si>
  <si>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</si>
  <si>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</si>
  <si>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</si>
  <si>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</si>
  <si>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</si>
  <si>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</si>
  <si>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</si>
  <si>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</si>
  <si>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</si>
  <si>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</si>
  <si>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</si>
  <si>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</si>
  <si>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</si>
  <si>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</si>
  <si>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</si>
  <si>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</si>
  <si>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</si>
  <si>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</si>
  <si>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</si>
  <si>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</si>
  <si>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</si>
  <si>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</si>
  <si>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</si>
  <si>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</si>
  <si>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</si>
  <si>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</si>
  <si>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</si>
  <si>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</si>
  <si>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</si>
  <si>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</si>
  <si>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</si>
  <si>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</si>
  <si>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</si>
  <si>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</si>
  <si>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</si>
  <si>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</si>
  <si>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</si>
  <si>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</si>
  <si>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</si>
  <si>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</si>
  <si>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</si>
  <si>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</si>
  <si>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</si>
  <si>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</si>
  <si>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</si>
  <si>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</si>
  <si>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</si>
  <si>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</si>
  <si>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</si>
  <si>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</si>
  <si>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</si>
  <si>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</si>
  <si>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</si>
  <si>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</si>
  <si>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</si>
  <si>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</si>
  <si>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</si>
  <si>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</si>
  <si>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</si>
  <si>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</si>
  <si>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</si>
  <si>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</si>
  <si>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</si>
  <si>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</si>
  <si>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</si>
  <si>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</si>
  <si>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</si>
  <si>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</si>
  <si>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</si>
  <si>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</si>
  <si>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</si>
  <si>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</si>
  <si>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</si>
  <si>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</si>
  <si>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</si>
  <si>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</si>
  <si>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</si>
  <si>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</si>
  <si>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</si>
  <si>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</si>
  <si>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</si>
  <si>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</si>
  <si>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</si>
  <si>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</si>
  <si>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</si>
  <si>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</si>
  <si>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</si>
  <si>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</si>
  <si>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</si>
  <si>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</si>
  <si>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</si>
  <si>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</si>
  <si>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</si>
  <si>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</si>
  <si>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</si>
  <si>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</si>
  <si>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</si>
  <si>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</si>
  <si>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</si>
  <si>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</si>
  <si>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</si>
  <si>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</si>
  <si>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</si>
  <si>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</si>
  <si>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</si>
  <si>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</si>
  <si>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</si>
  <si>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</si>
  <si>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</si>
  <si>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</si>
  <si>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</si>
  <si>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</si>
  <si>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</si>
  <si>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</si>
  <si>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</si>
  <si>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</si>
  <si>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</si>
  <si>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</si>
  <si>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</si>
  <si>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</si>
  <si>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</si>
  <si>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</si>
  <si>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</si>
  <si>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</si>
  <si>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</si>
  <si>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</si>
  <si>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</si>
  <si>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</si>
  <si>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</si>
  <si>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</si>
  <si>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</si>
  <si>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</si>
  <si>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</si>
  <si>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</si>
  <si>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</si>
  <si>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</si>
  <si>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</si>
  <si>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</si>
  <si>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</si>
  <si>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</si>
  <si>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</si>
  <si>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</si>
  <si>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</si>
  <si>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</si>
  <si>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</si>
  <si>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</si>
  <si>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</si>
  <si>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</si>
  <si>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</si>
  <si>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</si>
  <si>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</si>
  <si>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</si>
  <si>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</si>
  <si>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</si>
  <si>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</si>
  <si>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</si>
  <si>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</si>
  <si>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</si>
  <si>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</si>
  <si>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</si>
  <si>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</si>
  <si>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</si>
  <si>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</si>
  <si>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</si>
  <si>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</si>
  <si>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</si>
  <si>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</si>
  <si>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</si>
  <si>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</si>
  <si>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</si>
  <si>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</si>
  <si>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</si>
  <si>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</si>
  <si>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</si>
  <si>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</si>
  <si>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</si>
  <si>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</si>
  <si>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</si>
  <si>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</si>
  <si>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</si>
  <si>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</si>
  <si>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</si>
  <si>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</si>
  <si>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</si>
  <si>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</si>
  <si>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</si>
  <si>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</si>
  <si>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</si>
  <si>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</si>
  <si>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</si>
  <si>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</si>
  <si>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</si>
  <si>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</si>
  <si>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</si>
  <si>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</si>
  <si>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</si>
  <si>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</si>
  <si>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</si>
  <si>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</si>
  <si>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</si>
  <si>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</si>
  <si>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</si>
  <si>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</si>
  <si>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</si>
  <si>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</si>
  <si>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</si>
  <si>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</si>
  <si>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</si>
  <si>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</si>
  <si>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</si>
  <si>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</si>
  <si>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</si>
  <si>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</si>
  <si>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</si>
  <si>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</si>
  <si>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</si>
  <si>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</si>
  <si>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</si>
  <si>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</si>
  <si>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</si>
  <si>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</si>
  <si>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</si>
  <si>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</si>
  <si>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</si>
  <si>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</si>
  <si>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</si>
  <si>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</si>
  <si>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</si>
  <si>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</si>
  <si>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</si>
  <si>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</si>
  <si>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</si>
  <si>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</si>
  <si>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</si>
  <si>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</si>
  <si>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</si>
  <si>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</si>
  <si>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</si>
  <si>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</si>
  <si>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</si>
  <si>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</si>
  <si>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</si>
  <si>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</si>
  <si>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</si>
  <si>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</si>
  <si>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</si>
  <si>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</si>
  <si>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</si>
  <si>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</si>
  <si>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</si>
  <si>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</si>
  <si>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</si>
  <si>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</si>
  <si>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</si>
  <si>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</si>
  <si>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</si>
  <si>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</si>
  <si>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</si>
  <si>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</si>
  <si>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</si>
  <si>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</si>
  <si>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</si>
  <si>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</si>
  <si>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</si>
  <si>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</si>
  <si>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</si>
  <si>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</si>
  <si>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</si>
  <si>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</si>
  <si>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</si>
  <si>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</si>
  <si>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</si>
  <si>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</si>
  <si>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</si>
  <si>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</si>
  <si>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</si>
  <si>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</si>
  <si>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</si>
  <si>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</si>
  <si>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</si>
  <si>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</si>
  <si>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</si>
  <si>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</si>
  <si>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</si>
  <si>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</si>
  <si>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</si>
  <si>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</si>
  <si>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</si>
  <si>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</si>
  <si>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</si>
  <si>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</si>
  <si>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</si>
  <si>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</si>
  <si>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</si>
  <si>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</si>
  <si>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</si>
  <si>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</si>
  <si>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</si>
  <si>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</si>
  <si>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</si>
  <si>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</si>
  <si>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</si>
  <si>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</si>
  <si>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</si>
  <si>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</si>
  <si>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</si>
  <si>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</si>
  <si>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</si>
  <si>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</si>
  <si>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</si>
  <si>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</si>
  <si>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</si>
  <si>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</si>
  <si>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</si>
  <si>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</si>
  <si>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</si>
  <si>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</si>
  <si>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</si>
  <si>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</si>
  <si>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</si>
  <si>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</si>
  <si>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</si>
  <si>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</si>
  <si>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</si>
  <si>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</si>
  <si>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</si>
  <si>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</si>
  <si>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</si>
  <si>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</si>
  <si>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</si>
  <si>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</si>
  <si>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</si>
  <si>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</si>
  <si>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</si>
  <si>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</si>
  <si>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</si>
  <si>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</si>
  <si>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</si>
  <si>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</si>
  <si>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</si>
  <si>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</si>
  <si>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</si>
  <si>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</si>
  <si>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</si>
  <si>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</si>
  <si>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</si>
  <si>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</si>
  <si>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</si>
  <si>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</si>
  <si>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</si>
  <si>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</si>
  <si>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</si>
  <si>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</si>
  <si>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</si>
  <si>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</si>
  <si>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</si>
  <si>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</si>
  <si>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</si>
  <si>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</si>
  <si>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</si>
  <si>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</si>
  <si>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</si>
  <si>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</si>
  <si>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</si>
  <si>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</si>
  <si>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</si>
  <si>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</si>
  <si>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</si>
  <si>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</si>
  <si>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</si>
  <si>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</si>
  <si>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</si>
  <si>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</si>
  <si>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</si>
  <si>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</si>
  <si>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</si>
  <si>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</si>
  <si>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</si>
  <si>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</si>
  <si>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</si>
  <si>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</si>
  <si>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</si>
  <si>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</si>
  <si>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</si>
  <si>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</si>
  <si>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</si>
  <si>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</si>
  <si>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</si>
  <si>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</si>
  <si>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</si>
  <si>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</si>
  <si>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</si>
  <si>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</si>
  <si>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</si>
  <si>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</si>
  <si>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</si>
  <si>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</si>
  <si>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</si>
  <si>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</si>
  <si>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</si>
  <si>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</si>
  <si>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</si>
  <si>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</si>
  <si>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</si>
  <si>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</si>
  <si>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</si>
  <si>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</si>
  <si>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</si>
  <si>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</si>
  <si>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</si>
  <si>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</si>
  <si>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</si>
  <si>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</si>
  <si>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</si>
  <si>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</si>
  <si>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</si>
  <si>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</si>
  <si>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</si>
  <si>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</si>
  <si>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</si>
  <si>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</si>
  <si>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</si>
  <si>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</si>
  <si>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</si>
  <si>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</si>
  <si>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</si>
  <si>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</si>
  <si>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</si>
  <si>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</si>
  <si>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</si>
  <si>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</si>
  <si>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</si>
  <si>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</si>
  <si>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</si>
  <si>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</si>
  <si>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</si>
  <si>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</si>
  <si>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</si>
  <si>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</si>
  <si>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</si>
  <si>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</si>
  <si>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</si>
  <si>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</si>
  <si>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</si>
  <si>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</si>
  <si>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</si>
  <si>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</si>
  <si>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</si>
  <si>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</si>
  <si>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</si>
  <si>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</si>
  <si>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</si>
  <si>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</si>
  <si>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</si>
  <si>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</si>
  <si>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</si>
  <si>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</si>
  <si>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</si>
  <si>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</si>
  <si>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</si>
  <si>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</si>
  <si>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</si>
  <si>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</si>
  <si>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</si>
  <si>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</si>
  <si>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</si>
  <si>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</si>
  <si>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</si>
  <si>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</si>
  <si>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</si>
  <si>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</si>
  <si>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</si>
  <si>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</si>
  <si>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</si>
  <si>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</si>
  <si>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</si>
  <si>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</si>
  <si>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</si>
  <si>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</si>
  <si>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</si>
  <si>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</si>
  <si>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</si>
  <si>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</si>
  <si>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</si>
  <si>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</si>
  <si>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</si>
  <si>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</si>
  <si>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</si>
  <si>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</si>
  <si>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</si>
  <si>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TX ID</t>
  </si>
  <si>
    <t>Product</t>
  </si>
  <si>
    <t>Quantity</t>
  </si>
  <si>
    <t>Unit Price</t>
  </si>
  <si>
    <t>Amount</t>
  </si>
  <si>
    <t>Order Date</t>
  </si>
  <si>
    <t>Ship Date</t>
  </si>
  <si>
    <t>Customer Gender</t>
  </si>
  <si>
    <t>Order Mode</t>
  </si>
  <si>
    <t>Rating C</t>
  </si>
  <si>
    <t>State</t>
  </si>
  <si>
    <t>County</t>
  </si>
  <si>
    <t>Days to Deliver</t>
  </si>
  <si>
    <t>Weeknum</t>
  </si>
  <si>
    <t>Gender Value</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</si>
  <si>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</si>
  <si>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</si>
  <si>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</si>
  <si>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</si>
  <si>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</si>
  <si>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</si>
  <si>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</si>
  <si>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</si>
  <si>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</si>
  <si>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</si>
  <si>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</si>
  <si>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</si>
  <si>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</si>
  <si>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</si>
  <si>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</si>
  <si>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</si>
  <si>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</si>
  <si>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Count of TX ID</t>
  </si>
  <si>
    <t>Sum of Quantity</t>
  </si>
  <si>
    <t>Sum of Amount</t>
  </si>
  <si>
    <t>Average of Days to Deliver</t>
  </si>
  <si>
    <t>Average of Rating C</t>
  </si>
  <si>
    <t>Values for Display</t>
  </si>
  <si>
    <t>Orders</t>
  </si>
  <si>
    <t>Qty</t>
  </si>
  <si>
    <t>Avg. Days</t>
  </si>
  <si>
    <t>For Trends</t>
  </si>
  <si>
    <t>Unknown</t>
  </si>
  <si>
    <t>Male</t>
  </si>
  <si>
    <t>Female</t>
  </si>
  <si>
    <t>Other</t>
  </si>
  <si>
    <t>Column Labels</t>
  </si>
  <si>
    <t>For Matrix</t>
  </si>
  <si>
    <t>Order Qty Analysis</t>
  </si>
  <si>
    <t>6 to 10</t>
  </si>
  <si>
    <t>More Than 10</t>
  </si>
  <si>
    <t>Popular Products</t>
  </si>
  <si>
    <t>Map Chart Stuff (Qty)</t>
  </si>
  <si>
    <t>Map Chart for amount</t>
  </si>
  <si>
    <t>Days To Deliver</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</si>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</sst>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4" x14ac:knownFonts="1">
    <font>
      <sz val="11"/>
      <color theme="1"/>
      <name val="Calibri"/>
      <family val="2"/>
      <scheme val="minor"/>
    </font>
    <font>
      <b/>
      <sz val="11"/>
      <color theme="1"/>
      <name val="Calibri"/>
      <family val="2"/>
      <scheme val="minor"/>
    </font>
    <font>
      <sz val="11"/>
      <color theme="1"/>
      <name val="Aptos Display"/>
      <family val="2"/>
    </font>
    <font>
      <sz val="11"/>
      <color theme="1"/>
      <name val="Aptos Display"/>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1">
    <xf numFmtId="0" fontId="0" fillId="0" borderId="0"/>
  </cellStyleXfs>
  <cellXfs count="2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2" fillId="0" borderId="1" xfId="0" applyFont="1" applyBorder="1"/>
    <xf numFmtId="0" fontId="2" fillId="0" borderId="2" xfId="0" applyFont="1" applyBorder="1"/>
    <xf numFmtId="0" fontId="2" fillId="0" borderId="3" xfId="0" applyFont="1" applyBorder="1"/>
    <xf numFmtId="0" fontId="2" fillId="0" borderId="4" xfId="0" applyFont="1" applyBorder="1" applyAlignment="1">
      <alignment vertical="center"/>
    </xf>
    <xf numFmtId="165" fontId="2" fillId="0" borderId="5" xfId="0" applyNumberFormat="1" applyFont="1" applyBorder="1" applyAlignment="1">
      <alignment horizontal="center" vertical="center"/>
    </xf>
    <xf numFmtId="165" fontId="2" fillId="0" borderId="6" xfId="0" applyNumberFormat="1" applyFont="1" applyBorder="1" applyAlignment="1">
      <alignment horizontal="center" vertical="center"/>
    </xf>
    <xf numFmtId="0" fontId="2" fillId="0" borderId="7" xfId="0" applyFont="1" applyBorder="1" applyAlignment="1">
      <alignment vertical="center"/>
    </xf>
    <xf numFmtId="165" fontId="2" fillId="0" borderId="8" xfId="0" applyNumberFormat="1" applyFont="1" applyBorder="1" applyAlignment="1">
      <alignment horizontal="center" vertical="center"/>
    </xf>
    <xf numFmtId="165" fontId="2" fillId="0" borderId="9" xfId="0" applyNumberFormat="1" applyFont="1" applyBorder="1" applyAlignment="1">
      <alignment horizontal="center" vertical="center"/>
    </xf>
    <xf numFmtId="0" fontId="0" fillId="0" borderId="0" xfId="0" applyNumberFormat="1"/>
    <xf numFmtId="0" fontId="3" fillId="0" borderId="0" xfId="0" pivotButton="1" applyFont="1"/>
    <xf numFmtId="0" fontId="3" fillId="0" borderId="0" xfId="0" applyFont="1"/>
    <xf numFmtId="0" fontId="3" fillId="0" borderId="0" xfId="0" applyFont="1" applyAlignment="1">
      <alignment horizontal="left"/>
    </xf>
    <xf numFmtId="0" fontId="3" fillId="0" borderId="0" xfId="0" applyNumberFormat="1" applyFont="1"/>
  </cellXfs>
  <cellStyles count="1">
    <cellStyle name="Normal" xfId="0" builtinId="0"/>
  </cellStyles>
  <dxfs count="86">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numFmt numFmtId="164" formatCode="[$$-409]#,##0"/>
    </dxf>
    <dxf>
      <numFmt numFmtId="164" formatCode="[$$-409]#,##0"/>
    </dxf>
    <dxf>
      <font>
        <name val="Aptos Display"/>
        <scheme val="none"/>
      </font>
    </dxf>
    <dxf>
      <font>
        <name val="Aptos Display"/>
        <scheme val="none"/>
      </font>
    </dxf>
    <dxf>
      <numFmt numFmtId="164" formatCode="[$$-409]#,##0"/>
    </dxf>
    <dxf>
      <numFmt numFmtId="164" formatCode="[$$-409]#,##0"/>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FBF4DD"/>
      <color rgb="FFFF47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Store_exercise 3.xlsx]pivot tables!pvtTrends</c:name>
    <c:fmtId val="7"/>
  </c:pivotSource>
  <c:chart>
    <c:title>
      <c:tx>
        <c:rich>
          <a:bodyPr rot="0" spcFirstLastPara="1" vertOverflow="ellipsis" vert="horz" wrap="square" anchor="ctr" anchorCtr="1"/>
          <a:lstStyle/>
          <a:p>
            <a:pPr algn="ctr" rtl="0">
              <a:defRPr lang="en-ID" sz="1400" b="1" i="0" u="none" strike="noStrike" kern="1200" spc="0" baseline="0">
                <a:solidFill>
                  <a:schemeClr val="dk1"/>
                </a:solidFill>
                <a:latin typeface="Aptos Display" panose="020B0004020202020204" pitchFamily="34" charset="0"/>
                <a:ea typeface="+mn-ea"/>
                <a:cs typeface="+mn-cs"/>
              </a:defRPr>
            </a:pPr>
            <a:r>
              <a:rPr lang="en-ID" sz="1400" b="1" i="0" u="none" strike="noStrike" kern="1200" spc="0" baseline="0">
                <a:solidFill>
                  <a:schemeClr val="dk1"/>
                </a:solidFill>
                <a:latin typeface="Aptos Display" panose="020B0004020202020204" pitchFamily="34" charset="0"/>
                <a:ea typeface="+mn-ea"/>
                <a:cs typeface="+mn-cs"/>
              </a:rPr>
              <a:t>Last 13 Weeks Trends - Qty vs. Amount</a:t>
            </a:r>
          </a:p>
        </c:rich>
      </c:tx>
      <c:overlay val="0"/>
      <c:spPr>
        <a:noFill/>
        <a:ln>
          <a:noFill/>
        </a:ln>
        <a:effectLst/>
      </c:spPr>
      <c:txPr>
        <a:bodyPr rot="0" spcFirstLastPara="1" vertOverflow="ellipsis" vert="horz" wrap="square" anchor="ctr" anchorCtr="1"/>
        <a:lstStyle/>
        <a:p>
          <a:pPr algn="ctr" rtl="0">
            <a:defRPr lang="en-ID" sz="1400" b="1" i="0" u="none" strike="noStrike" kern="1200" spc="0" baseline="0">
              <a:solidFill>
                <a:schemeClr val="dk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tables'!$B$13:$B$26</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A86-48C8-8953-A8BC8E526236}"/>
            </c:ext>
          </c:extLst>
        </c:ser>
        <c:dLbls>
          <c:showLegendKey val="0"/>
          <c:showVal val="0"/>
          <c:showCatName val="0"/>
          <c:showSerName val="0"/>
          <c:showPercent val="0"/>
          <c:showBubbleSize val="0"/>
        </c:dLbls>
        <c:marker val="1"/>
        <c:smooth val="0"/>
        <c:axId val="765018224"/>
        <c:axId val="765019184"/>
      </c:lineChart>
      <c:lineChart>
        <c:grouping val="standard"/>
        <c:varyColors val="0"/>
        <c:ser>
          <c:idx val="1"/>
          <c:order val="1"/>
          <c:tx>
            <c:strRef>
              <c:f>'pivot tables'!$C$12</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tables'!$C$13:$C$26</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A86-48C8-8953-A8BC8E526236}"/>
            </c:ext>
          </c:extLst>
        </c:ser>
        <c:dLbls>
          <c:showLegendKey val="0"/>
          <c:showVal val="0"/>
          <c:showCatName val="0"/>
          <c:showSerName val="0"/>
          <c:showPercent val="0"/>
          <c:showBubbleSize val="0"/>
        </c:dLbls>
        <c:marker val="1"/>
        <c:smooth val="0"/>
        <c:axId val="765026864"/>
        <c:axId val="765043184"/>
      </c:lineChart>
      <c:catAx>
        <c:axId val="76501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19184"/>
        <c:crosses val="autoZero"/>
        <c:auto val="1"/>
        <c:lblAlgn val="ctr"/>
        <c:lblOffset val="100"/>
        <c:noMultiLvlLbl val="0"/>
      </c:catAx>
      <c:valAx>
        <c:axId val="765019184"/>
        <c:scaling>
          <c:orientation val="minMax"/>
          <c:max val="1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18224"/>
        <c:crosses val="autoZero"/>
        <c:crossBetween val="between"/>
        <c:majorUnit val="200"/>
      </c:valAx>
      <c:valAx>
        <c:axId val="765043184"/>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26864"/>
        <c:crosses val="max"/>
        <c:crossBetween val="between"/>
      </c:valAx>
      <c:catAx>
        <c:axId val="765026864"/>
        <c:scaling>
          <c:orientation val="minMax"/>
        </c:scaling>
        <c:delete val="1"/>
        <c:axPos val="b"/>
        <c:numFmt formatCode="General" sourceLinked="1"/>
        <c:majorTickMark val="out"/>
        <c:minorTickMark val="none"/>
        <c:tickLblPos val="nextTo"/>
        <c:crossAx val="7650431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Store_exercise 3.xlsx]pivot tables!pvtQty</c:name>
    <c:fmtId val="8"/>
  </c:pivotSource>
  <c:chart>
    <c:title>
      <c:tx>
        <c:rich>
          <a:bodyPr rot="0" spcFirstLastPara="1" vertOverflow="ellipsis" vert="horz" wrap="square" anchor="ctr" anchorCtr="1"/>
          <a:lstStyle/>
          <a:p>
            <a:pPr algn="ctr" rtl="0">
              <a:defRPr lang="en-US" sz="1400" b="1" i="0" u="none" strike="noStrike" kern="1200" spc="0" baseline="0">
                <a:solidFill>
                  <a:schemeClr val="dk1"/>
                </a:solidFill>
                <a:latin typeface="Aptos Display" panose="020B0004020202020204" pitchFamily="34" charset="0"/>
                <a:ea typeface="+mn-ea"/>
                <a:cs typeface="+mn-cs"/>
              </a:defRPr>
            </a:pPr>
            <a:r>
              <a:rPr lang="en-US" sz="1400" b="1" i="0" u="none" strike="noStrike" kern="1200" spc="0" baseline="0">
                <a:solidFill>
                  <a:schemeClr val="dk1"/>
                </a:solidFill>
                <a:latin typeface="Aptos Display" panose="020B0004020202020204" pitchFamily="34" charset="0"/>
                <a:ea typeface="+mn-ea"/>
                <a:cs typeface="+mn-cs"/>
              </a:rPr>
              <a:t>How many they buy?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dk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tables'!$A$35:$A$42</c:f>
              <c:strCache>
                <c:ptCount val="7"/>
                <c:pt idx="0">
                  <c:v>1</c:v>
                </c:pt>
                <c:pt idx="1">
                  <c:v>2</c:v>
                </c:pt>
                <c:pt idx="2">
                  <c:v>3</c:v>
                </c:pt>
                <c:pt idx="3">
                  <c:v>4</c:v>
                </c:pt>
                <c:pt idx="4">
                  <c:v>5</c:v>
                </c:pt>
                <c:pt idx="5">
                  <c:v>6 to 10</c:v>
                </c:pt>
                <c:pt idx="6">
                  <c:v>More Than 10</c:v>
                </c:pt>
              </c:strCache>
            </c:strRef>
          </c:cat>
          <c:val>
            <c:numRef>
              <c:f>'pivot tables'!$B$35:$B$42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E6AA-4911-8086-6067EDB0A6AD}"/>
            </c:ext>
          </c:extLst>
        </c:ser>
        <c:dLbls>
          <c:showLegendKey val="0"/>
          <c:showVal val="0"/>
          <c:showCatName val="0"/>
          <c:showSerName val="0"/>
          <c:showPercent val="0"/>
          <c:showBubbleSize val="0"/>
        </c:dLbls>
        <c:gapWidth val="10"/>
        <c:overlap val="-51"/>
        <c:axId val="764993264"/>
        <c:axId val="764994224"/>
      </c:barChart>
      <c:catAx>
        <c:axId val="7649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994224"/>
        <c:crosses val="autoZero"/>
        <c:auto val="1"/>
        <c:lblAlgn val="ctr"/>
        <c:lblOffset val="100"/>
        <c:noMultiLvlLbl val="0"/>
      </c:catAx>
      <c:valAx>
        <c:axId val="76499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99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Store_exercise 3.xlsx]pivot tables!pvtProducts</c:name>
    <c:fmtId val="25"/>
  </c:pivotSource>
  <c:chart>
    <c:title>
      <c:tx>
        <c:rich>
          <a:bodyPr rot="0" spcFirstLastPara="1" vertOverflow="ellipsis" vert="horz" wrap="square" anchor="ctr" anchorCtr="1"/>
          <a:lstStyle/>
          <a:p>
            <a:pPr algn="l" rtl="0">
              <a:defRPr lang="en-ID" sz="1200" b="1" i="0" u="none" strike="noStrike" kern="1200" spc="0" baseline="0">
                <a:solidFill>
                  <a:schemeClr val="dk1"/>
                </a:solidFill>
                <a:latin typeface="Aptos Display" panose="020B0004020202020204" pitchFamily="34" charset="0"/>
                <a:ea typeface="+mn-ea"/>
                <a:cs typeface="+mn-cs"/>
              </a:defRPr>
            </a:pPr>
            <a:r>
              <a:rPr lang="en-ID" sz="1200" b="1" i="0" u="none" strike="noStrike" kern="1200" spc="0" baseline="0">
                <a:solidFill>
                  <a:schemeClr val="dk1"/>
                </a:solidFill>
                <a:latin typeface="Aptos Display" panose="020B0004020202020204" pitchFamily="34" charset="0"/>
                <a:ea typeface="+mn-ea"/>
                <a:cs typeface="+mn-cs"/>
              </a:rPr>
              <a:t>Which products are popular? </a:t>
            </a:r>
            <a:r>
              <a:rPr lang="en-ID" sz="1200" b="0" i="0" u="none" strike="noStrike" kern="1200" spc="0" baseline="0">
                <a:solidFill>
                  <a:schemeClr val="dk1"/>
                </a:solidFill>
                <a:latin typeface="Aptos Display" panose="020B0004020202020204" pitchFamily="34" charset="0"/>
                <a:ea typeface="+mn-ea"/>
                <a:cs typeface="+mn-cs"/>
              </a:rPr>
              <a:t>Breakdown by Gender</a:t>
            </a:r>
          </a:p>
        </c:rich>
      </c:tx>
      <c:layout>
        <c:manualLayout>
          <c:xMode val="edge"/>
          <c:yMode val="edge"/>
          <c:x val="3.6634659172771443E-2"/>
          <c:y val="3.2919996491644787E-2"/>
        </c:manualLayout>
      </c:layout>
      <c:overlay val="0"/>
      <c:spPr>
        <a:noFill/>
        <a:ln>
          <a:noFill/>
        </a:ln>
        <a:effectLst/>
      </c:spPr>
      <c:txPr>
        <a:bodyPr rot="0" spcFirstLastPara="1" vertOverflow="ellipsis" vert="horz" wrap="square" anchor="ctr" anchorCtr="1"/>
        <a:lstStyle/>
        <a:p>
          <a:pPr algn="l" rtl="0">
            <a:defRPr lang="en-ID" sz="1200" b="1" i="0" u="none" strike="noStrike" kern="1200" spc="0" baseline="0">
              <a:solidFill>
                <a:schemeClr val="dk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tables'!$B$51:$B$52</c:f>
              <c:strCache>
                <c:ptCount val="1"/>
                <c:pt idx="0">
                  <c:v>Female</c:v>
                </c:pt>
              </c:strCache>
            </c:strRef>
          </c:tx>
          <c:spPr>
            <a:solidFill>
              <a:schemeClr val="accent1"/>
            </a:solidFill>
            <a:ln>
              <a:noFill/>
            </a:ln>
            <a:effectLst/>
          </c:spPr>
          <c:invertIfNegative val="0"/>
          <c:cat>
            <c:strRef>
              <c:f>'pivot tables'!$A$53:$A$73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tables'!$B$53:$B$73</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F8C-4897-A6F9-A1E5865C63F0}"/>
            </c:ext>
          </c:extLst>
        </c:ser>
        <c:ser>
          <c:idx val="1"/>
          <c:order val="1"/>
          <c:tx>
            <c:strRef>
              <c:f>'pivot tables'!$C$51:$C$52</c:f>
              <c:strCache>
                <c:ptCount val="1"/>
                <c:pt idx="0">
                  <c:v>Male</c:v>
                </c:pt>
              </c:strCache>
            </c:strRef>
          </c:tx>
          <c:spPr>
            <a:solidFill>
              <a:schemeClr val="accent3"/>
            </a:solidFill>
            <a:ln>
              <a:noFill/>
            </a:ln>
            <a:effectLst/>
          </c:spPr>
          <c:invertIfNegative val="0"/>
          <c:cat>
            <c:strRef>
              <c:f>'pivot tables'!$A$53:$A$73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tables'!$C$53:$C$73</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4-3170-460D-9BEB-9D803EFA383E}"/>
            </c:ext>
          </c:extLst>
        </c:ser>
        <c:ser>
          <c:idx val="2"/>
          <c:order val="2"/>
          <c:tx>
            <c:strRef>
              <c:f>'pivot tables'!$D$51:$D$52</c:f>
              <c:strCache>
                <c:ptCount val="1"/>
                <c:pt idx="0">
                  <c:v>Other</c:v>
                </c:pt>
              </c:strCache>
            </c:strRef>
          </c:tx>
          <c:spPr>
            <a:solidFill>
              <a:schemeClr val="accent5"/>
            </a:solidFill>
            <a:ln>
              <a:noFill/>
            </a:ln>
            <a:effectLst/>
          </c:spPr>
          <c:invertIfNegative val="0"/>
          <c:cat>
            <c:strRef>
              <c:f>'pivot tables'!$A$53:$A$73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tables'!$D$53:$D$73</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5-3170-460D-9BEB-9D803EFA383E}"/>
            </c:ext>
          </c:extLst>
        </c:ser>
        <c:ser>
          <c:idx val="3"/>
          <c:order val="3"/>
          <c:tx>
            <c:strRef>
              <c:f>'pivot tables'!$E$51:$E$52</c:f>
              <c:strCache>
                <c:ptCount val="1"/>
                <c:pt idx="0">
                  <c:v>Unknown</c:v>
                </c:pt>
              </c:strCache>
            </c:strRef>
          </c:tx>
          <c:spPr>
            <a:solidFill>
              <a:schemeClr val="accent1">
                <a:lumMod val="60000"/>
              </a:schemeClr>
            </a:solidFill>
            <a:ln>
              <a:noFill/>
            </a:ln>
            <a:effectLst/>
          </c:spPr>
          <c:invertIfNegative val="0"/>
          <c:cat>
            <c:strRef>
              <c:f>'pivot tables'!$A$53:$A$73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tables'!$E$53:$E$73</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6-3170-460D-9BEB-9D803EFA383E}"/>
            </c:ext>
          </c:extLst>
        </c:ser>
        <c:dLbls>
          <c:showLegendKey val="0"/>
          <c:showVal val="0"/>
          <c:showCatName val="0"/>
          <c:showSerName val="0"/>
          <c:showPercent val="0"/>
          <c:showBubbleSize val="0"/>
        </c:dLbls>
        <c:gapWidth val="15"/>
        <c:overlap val="100"/>
        <c:axId val="2083230112"/>
        <c:axId val="2083235872"/>
      </c:barChart>
      <c:catAx>
        <c:axId val="2083230112"/>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083235872"/>
        <c:crosses val="autoZero"/>
        <c:auto val="1"/>
        <c:lblAlgn val="ctr"/>
        <c:lblOffset val="100"/>
        <c:noMultiLvlLbl val="0"/>
      </c:catAx>
      <c:valAx>
        <c:axId val="2083235872"/>
        <c:scaling>
          <c:orientation val="minMax"/>
        </c:scaling>
        <c:delete val="1"/>
        <c:axPos val="t"/>
        <c:numFmt formatCode="General" sourceLinked="1"/>
        <c:majorTickMark val="none"/>
        <c:minorTickMark val="none"/>
        <c:tickLblPos val="nextTo"/>
        <c:crossAx val="208323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 Store_exercise 3.xlsx]pivot tables!pvtGender</c:name>
    <c:fmtId val="3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6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w="19050">
            <a:solidFill>
              <a:schemeClr val="lt1"/>
            </a:solidFill>
          </a:ln>
          <a:effectLst/>
        </c:spPr>
        <c:dLbl>
          <c:idx val="0"/>
          <c:layout>
            <c:manualLayout>
              <c:x val="5.4892994165844144E-2"/>
              <c:y val="0.19869766277545292"/>
            </c:manualLayout>
          </c:layout>
          <c:spPr>
            <a:noFill/>
            <a:ln>
              <a:noFill/>
            </a:ln>
            <a:effectLst/>
          </c:spPr>
          <c:txPr>
            <a:bodyPr rot="0" spcFirstLastPara="1" vertOverflow="ellipsis" vert="horz" wrap="square" lIns="38100" tIns="19050" rIns="38100" bIns="19050" anchor="t" anchorCtr="0">
              <a:spAutoFit/>
            </a:bodyPr>
            <a:lstStyle/>
            <a:p>
              <a:pPr>
                <a:defRPr sz="6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3"/>
          </a:solidFill>
          <a:ln w="19050">
            <a:solidFill>
              <a:schemeClr val="lt1"/>
            </a:solidFill>
          </a:ln>
          <a:effectLst/>
        </c:spPr>
        <c:dLbl>
          <c:idx val="0"/>
          <c:layout>
            <c:manualLayout>
              <c:x val="9.8023203867578824E-3"/>
              <c:y val="0.22995347489743401"/>
            </c:manualLayout>
          </c:layout>
          <c:spPr>
            <a:noFill/>
            <a:ln>
              <a:noFill/>
            </a:ln>
            <a:effectLst/>
          </c:spPr>
          <c:txPr>
            <a:bodyPr rot="0" spcFirstLastPara="1" vertOverflow="ellipsis" vert="horz" wrap="square" lIns="38100" tIns="19050" rIns="38100" bIns="19050" anchor="t" anchorCtr="0">
              <a:spAutoFit/>
            </a:bodyPr>
            <a:lstStyle/>
            <a:p>
              <a:pPr>
                <a:defRPr sz="6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5"/>
          </a:solidFill>
          <a:ln w="19050">
            <a:solidFill>
              <a:schemeClr val="lt1"/>
            </a:solidFill>
          </a:ln>
          <a:effectLst/>
        </c:spPr>
        <c:dLbl>
          <c:idx val="0"/>
          <c:layout>
            <c:manualLayout>
              <c:x val="-7.4497634939359944E-2"/>
              <c:y val="-9.8232552383369934E-2"/>
            </c:manualLayout>
          </c:layout>
          <c:spPr>
            <a:noFill/>
            <a:ln>
              <a:noFill/>
            </a:ln>
            <a:effectLst/>
          </c:spPr>
          <c:txPr>
            <a:bodyPr rot="0" spcFirstLastPara="1" vertOverflow="ellipsis" vert="horz" wrap="square" lIns="38100" tIns="19050" rIns="38100" bIns="19050" anchor="t" anchorCtr="0">
              <a:spAutoFit/>
            </a:bodyPr>
            <a:lstStyle/>
            <a:p>
              <a:pPr>
                <a:defRPr sz="6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lumMod val="60000"/>
            </a:schemeClr>
          </a:solidFill>
          <a:ln w="19050">
            <a:solidFill>
              <a:schemeClr val="lt1"/>
            </a:solidFill>
          </a:ln>
          <a:effectLst/>
        </c:spPr>
        <c:dLbl>
          <c:idx val="0"/>
          <c:layout>
            <c:manualLayout>
              <c:x val="2.9803448974230054E-2"/>
              <c:y val="-9.5999994374657005E-2"/>
            </c:manualLayout>
          </c:layout>
          <c:spPr>
            <a:noFill/>
            <a:ln>
              <a:noFill/>
            </a:ln>
            <a:effectLst/>
          </c:spPr>
          <c:txPr>
            <a:bodyPr rot="0" spcFirstLastPara="1" vertOverflow="ellipsis" vert="horz" wrap="square" lIns="38100" tIns="19050" rIns="38100" bIns="19050" anchor="t" anchorCtr="0">
              <a:spAutoFit/>
            </a:bodyPr>
            <a:lstStyle/>
            <a:p>
              <a:pPr>
                <a:defRPr sz="6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2392072789961776"/>
                  <c:h val="0.19019724127261486"/>
                </c:manualLayout>
              </c15:layout>
            </c:ext>
          </c:extLst>
        </c:dLbl>
      </c:pivotFmt>
    </c:pivotFmts>
    <c:plotArea>
      <c:layout/>
      <c:doughnutChart>
        <c:varyColors val="1"/>
        <c:ser>
          <c:idx val="0"/>
          <c:order val="0"/>
          <c:tx>
            <c:strRef>
              <c:f>'pivot tables'!$K$51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29-4B82-BAE3-D6B483727F2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729-4B82-BAE3-D6B483727F28}"/>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2729-4B82-BAE3-D6B483727F28}"/>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2729-4B82-BAE3-D6B483727F28}"/>
              </c:ext>
            </c:extLst>
          </c:dPt>
          <c:dLbls>
            <c:dLbl>
              <c:idx val="0"/>
              <c:layout>
                <c:manualLayout>
                  <c:x val="5.4892994165844144E-2"/>
                  <c:y val="0.1986976627754529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729-4B82-BAE3-D6B483727F28}"/>
                </c:ext>
              </c:extLst>
            </c:dLbl>
            <c:dLbl>
              <c:idx val="1"/>
              <c:layout>
                <c:manualLayout>
                  <c:x val="9.8023203867578824E-3"/>
                  <c:y val="0.22995347489743401"/>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729-4B82-BAE3-D6B483727F28}"/>
                </c:ext>
              </c:extLst>
            </c:dLbl>
            <c:dLbl>
              <c:idx val="2"/>
              <c:layout>
                <c:manualLayout>
                  <c:x val="-7.4497634939359944E-2"/>
                  <c:y val="-9.8232552383369934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729-4B82-BAE3-D6B483727F28}"/>
                </c:ext>
              </c:extLst>
            </c:dLbl>
            <c:dLbl>
              <c:idx val="3"/>
              <c:layout>
                <c:manualLayout>
                  <c:x val="2.9803448974230054E-2"/>
                  <c:y val="-9.5999994374657005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2392072789961776"/>
                      <c:h val="0.19019724127261486"/>
                    </c:manualLayout>
                  </c15:layout>
                </c:ext>
                <c:ext xmlns:c16="http://schemas.microsoft.com/office/drawing/2014/chart" uri="{C3380CC4-5D6E-409C-BE32-E72D297353CC}">
                  <c16:uniqueId val="{00000007-2729-4B82-BAE3-D6B483727F28}"/>
                </c:ext>
              </c:extLst>
            </c:dLbl>
            <c:spPr>
              <a:noFill/>
              <a:ln>
                <a:noFill/>
              </a:ln>
              <a:effectLst/>
            </c:spPr>
            <c:txPr>
              <a:bodyPr rot="0" spcFirstLastPara="1" vertOverflow="ellipsis" vert="horz" wrap="square" lIns="38100" tIns="19050" rIns="38100" bIns="19050" anchor="t" anchorCtr="0">
                <a:spAutoFit/>
              </a:bodyPr>
              <a:lstStyle/>
              <a:p>
                <a:pPr>
                  <a:defRPr sz="6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rect">
                    <a:avLst/>
                  </a:prstGeom>
                </c15:spPr>
              </c:ext>
            </c:extLst>
          </c:dLbls>
          <c:cat>
            <c:strRef>
              <c:f>'pivot tables'!$J$52:$J$56</c:f>
              <c:strCache>
                <c:ptCount val="4"/>
                <c:pt idx="0">
                  <c:v>Female</c:v>
                </c:pt>
                <c:pt idx="1">
                  <c:v>Male</c:v>
                </c:pt>
                <c:pt idx="2">
                  <c:v>Other</c:v>
                </c:pt>
                <c:pt idx="3">
                  <c:v>Unknown</c:v>
                </c:pt>
              </c:strCache>
            </c:strRef>
          </c:cat>
          <c:val>
            <c:numRef>
              <c:f>'pivot tables'!$K$52:$K$56</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2729-4B82-BAE3-D6B483727F28}"/>
            </c:ext>
          </c:extLst>
        </c:ser>
        <c:dLbls>
          <c:showLegendKey val="0"/>
          <c:showVal val="1"/>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[Viva Store_exercise 3.xlsx]pivot tables!pvtDurations</c:name>
    <c:fmtId val="4"/>
  </c:pivotSource>
  <c:chart>
    <c:title>
      <c:tx>
        <c:rich>
          <a:bodyPr rot="0" spcFirstLastPara="1" vertOverflow="ellipsis" vert="horz" wrap="square" anchor="ctr" anchorCtr="1"/>
          <a:lstStyle/>
          <a:p>
            <a:pPr algn="ctr" rtl="0">
              <a:defRPr lang="en-US" sz="1400" b="1" i="0" u="none" strike="noStrike" kern="1200" spc="0" baseline="0">
                <a:solidFill>
                  <a:schemeClr val="dk1"/>
                </a:solidFill>
                <a:latin typeface="Aptos Display" panose="020B0004020202020204" pitchFamily="34" charset="0"/>
                <a:ea typeface="+mn-ea"/>
                <a:cs typeface="+mn-cs"/>
              </a:defRPr>
            </a:pPr>
            <a:r>
              <a:rPr lang="en-US" sz="1400" b="1" i="0" u="none" strike="noStrike" kern="1200" spc="0" baseline="0">
                <a:solidFill>
                  <a:schemeClr val="dk1"/>
                </a:solidFill>
                <a:latin typeface="Aptos Display" panose="020B0004020202020204" pitchFamily="34" charset="0"/>
                <a:ea typeface="+mn-ea"/>
                <a:cs typeface="+mn-cs"/>
              </a:rPr>
              <a:t>How long we take to ship?</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dk1"/>
              </a:solidFill>
              <a:latin typeface="Aptos Display" panose="020B0004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4544985703295"/>
          <c:y val="0.23486552060096155"/>
          <c:w val="0.87334574544967603"/>
          <c:h val="0.61823576750136866"/>
        </c:manualLayout>
      </c:layout>
      <c:barChart>
        <c:barDir val="col"/>
        <c:grouping val="clustered"/>
        <c:varyColors val="0"/>
        <c:ser>
          <c:idx val="0"/>
          <c:order val="0"/>
          <c:tx>
            <c:strRef>
              <c:f>'pivot tables'!$B$153</c:f>
              <c:strCache>
                <c:ptCount val="1"/>
                <c:pt idx="0">
                  <c:v>Total</c:v>
                </c:pt>
              </c:strCache>
            </c:strRef>
          </c:tx>
          <c:spPr>
            <a:solidFill>
              <a:schemeClr val="accent2">
                <a:lumMod val="75000"/>
              </a:schemeClr>
            </a:solidFill>
            <a:ln>
              <a:noFill/>
            </a:ln>
            <a:effectLst/>
          </c:spPr>
          <c:invertIfNegative val="0"/>
          <c:cat>
            <c:strRef>
              <c:f>'pivot tables'!$A$154:$A$169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tables'!$B$154:$B$169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C41-4E2A-854D-AC2C3CAE4700}"/>
            </c:ext>
          </c:extLst>
        </c:ser>
        <c:dLbls>
          <c:showLegendKey val="0"/>
          <c:showVal val="0"/>
          <c:showCatName val="0"/>
          <c:showSerName val="0"/>
          <c:showPercent val="0"/>
          <c:showBubbleSize val="0"/>
        </c:dLbls>
        <c:gapWidth val="10"/>
        <c:overlap val="-27"/>
        <c:axId val="765002864"/>
        <c:axId val="764986544"/>
      </c:barChart>
      <c:catAx>
        <c:axId val="76500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986544"/>
        <c:crosses val="autoZero"/>
        <c:auto val="1"/>
        <c:lblAlgn val="ctr"/>
        <c:lblOffset val="100"/>
        <c:noMultiLvlLbl val="0"/>
      </c:catAx>
      <c:valAx>
        <c:axId val="76498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0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[Viva Store_exercise 3.xlsx]pivot tables!pvtRating</c:name>
    <c:fmtId val="24"/>
  </c:pivotSource>
  <c:chart>
    <c:title>
      <c:tx>
        <c:rich>
          <a:bodyPr rot="0" spcFirstLastPara="1" vertOverflow="ellipsis" vert="horz" wrap="square" anchor="ctr" anchorCtr="1"/>
          <a:lstStyle/>
          <a:p>
            <a:pPr algn="ctr" rtl="0">
              <a:defRPr lang="en-ID" sz="1400" b="1" i="0" u="none" strike="noStrike" kern="1200" spc="0" baseline="0">
                <a:solidFill>
                  <a:schemeClr val="dk1"/>
                </a:solidFill>
                <a:latin typeface="Aptos Display" panose="020B0004020202020204" pitchFamily="34" charset="0"/>
                <a:ea typeface="+mn-ea"/>
                <a:cs typeface="+mn-cs"/>
              </a:defRPr>
            </a:pPr>
            <a:r>
              <a:rPr lang="en-ID" sz="1400" b="1" i="0" u="none" strike="noStrike" kern="1200" spc="0" baseline="0">
                <a:solidFill>
                  <a:schemeClr val="dk1"/>
                </a:solidFill>
                <a:latin typeface="Aptos Display" panose="020B0004020202020204" pitchFamily="34" charset="0"/>
                <a:ea typeface="+mn-ea"/>
                <a:cs typeface="+mn-cs"/>
              </a:rPr>
              <a:t>How satisfied are our customers?</a:t>
            </a:r>
          </a:p>
        </c:rich>
      </c:tx>
      <c:overlay val="0"/>
      <c:spPr>
        <a:noFill/>
        <a:ln>
          <a:noFill/>
        </a:ln>
        <a:effectLst/>
      </c:spPr>
      <c:txPr>
        <a:bodyPr rot="0" spcFirstLastPara="1" vertOverflow="ellipsis" vert="horz" wrap="square" anchor="ctr" anchorCtr="1"/>
        <a:lstStyle/>
        <a:p>
          <a:pPr algn="ctr" rtl="0">
            <a:defRPr lang="en-ID" sz="1400" b="1" i="0" u="none" strike="noStrike" kern="1200" spc="0" baseline="0">
              <a:solidFill>
                <a:schemeClr val="dk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tables'!$B$177:$B$178</c:f>
              <c:strCache>
                <c:ptCount val="1"/>
                <c:pt idx="0">
                  <c:v>1</c:v>
                </c:pt>
              </c:strCache>
            </c:strRef>
          </c:tx>
          <c:spPr>
            <a:solidFill>
              <a:schemeClr val="accent1">
                <a:shade val="53000"/>
              </a:schemeClr>
            </a:solidFill>
            <a:ln>
              <a:noFill/>
            </a:ln>
            <a:effectLst/>
          </c:spPr>
          <c:invertIfNegative val="0"/>
          <c:cat>
            <c:strRef>
              <c:f>'pivot tables'!$A$179:$A$182</c:f>
              <c:strCache>
                <c:ptCount val="3"/>
                <c:pt idx="0">
                  <c:v>Jan</c:v>
                </c:pt>
                <c:pt idx="1">
                  <c:v>Feb</c:v>
                </c:pt>
                <c:pt idx="2">
                  <c:v>Mar</c:v>
                </c:pt>
              </c:strCache>
            </c:strRef>
          </c:cat>
          <c:val>
            <c:numRef>
              <c:f>'pivot tables'!$B$179:$B$182</c:f>
              <c:numCache>
                <c:formatCode>General</c:formatCode>
                <c:ptCount val="3"/>
                <c:pt idx="0">
                  <c:v>7</c:v>
                </c:pt>
                <c:pt idx="1">
                  <c:v>8</c:v>
                </c:pt>
                <c:pt idx="2">
                  <c:v>6</c:v>
                </c:pt>
              </c:numCache>
            </c:numRef>
          </c:val>
          <c:extLst>
            <c:ext xmlns:c16="http://schemas.microsoft.com/office/drawing/2014/chart" uri="{C3380CC4-5D6E-409C-BE32-E72D297353CC}">
              <c16:uniqueId val="{00000000-239D-4518-BA85-62BA86B6DC6E}"/>
            </c:ext>
          </c:extLst>
        </c:ser>
        <c:ser>
          <c:idx val="1"/>
          <c:order val="1"/>
          <c:tx>
            <c:strRef>
              <c:f>'pivot tables'!$C$177:$C$178</c:f>
              <c:strCache>
                <c:ptCount val="1"/>
                <c:pt idx="0">
                  <c:v>2</c:v>
                </c:pt>
              </c:strCache>
            </c:strRef>
          </c:tx>
          <c:spPr>
            <a:solidFill>
              <a:schemeClr val="accent1">
                <a:shade val="76000"/>
              </a:schemeClr>
            </a:solidFill>
            <a:ln>
              <a:noFill/>
            </a:ln>
            <a:effectLst/>
          </c:spPr>
          <c:invertIfNegative val="0"/>
          <c:cat>
            <c:strRef>
              <c:f>'pivot tables'!$A$179:$A$182</c:f>
              <c:strCache>
                <c:ptCount val="3"/>
                <c:pt idx="0">
                  <c:v>Jan</c:v>
                </c:pt>
                <c:pt idx="1">
                  <c:v>Feb</c:v>
                </c:pt>
                <c:pt idx="2">
                  <c:v>Mar</c:v>
                </c:pt>
              </c:strCache>
            </c:strRef>
          </c:cat>
          <c:val>
            <c:numRef>
              <c:f>'pivot tables'!$C$179:$C$182</c:f>
              <c:numCache>
                <c:formatCode>General</c:formatCode>
                <c:ptCount val="3"/>
                <c:pt idx="0">
                  <c:v>37</c:v>
                </c:pt>
                <c:pt idx="1">
                  <c:v>51</c:v>
                </c:pt>
                <c:pt idx="2">
                  <c:v>39</c:v>
                </c:pt>
              </c:numCache>
            </c:numRef>
          </c:val>
          <c:extLst>
            <c:ext xmlns:c16="http://schemas.microsoft.com/office/drawing/2014/chart" uri="{C3380CC4-5D6E-409C-BE32-E72D297353CC}">
              <c16:uniqueId val="{00000001-239D-4518-BA85-62BA86B6DC6E}"/>
            </c:ext>
          </c:extLst>
        </c:ser>
        <c:ser>
          <c:idx val="2"/>
          <c:order val="2"/>
          <c:tx>
            <c:strRef>
              <c:f>'pivot tables'!$D$177:$D$178</c:f>
              <c:strCache>
                <c:ptCount val="1"/>
                <c:pt idx="0">
                  <c:v>3</c:v>
                </c:pt>
              </c:strCache>
            </c:strRef>
          </c:tx>
          <c:spPr>
            <a:solidFill>
              <a:schemeClr val="accent1"/>
            </a:solidFill>
            <a:ln>
              <a:noFill/>
            </a:ln>
            <a:effectLst/>
          </c:spPr>
          <c:invertIfNegative val="0"/>
          <c:cat>
            <c:strRef>
              <c:f>'pivot tables'!$A$179:$A$182</c:f>
              <c:strCache>
                <c:ptCount val="3"/>
                <c:pt idx="0">
                  <c:v>Jan</c:v>
                </c:pt>
                <c:pt idx="1">
                  <c:v>Feb</c:v>
                </c:pt>
                <c:pt idx="2">
                  <c:v>Mar</c:v>
                </c:pt>
              </c:strCache>
            </c:strRef>
          </c:cat>
          <c:val>
            <c:numRef>
              <c:f>'pivot tables'!$D$179:$D$182</c:f>
              <c:numCache>
                <c:formatCode>General</c:formatCode>
                <c:ptCount val="3"/>
                <c:pt idx="0">
                  <c:v>150</c:v>
                </c:pt>
                <c:pt idx="1">
                  <c:v>182</c:v>
                </c:pt>
                <c:pt idx="2">
                  <c:v>163</c:v>
                </c:pt>
              </c:numCache>
            </c:numRef>
          </c:val>
          <c:extLst>
            <c:ext xmlns:c16="http://schemas.microsoft.com/office/drawing/2014/chart" uri="{C3380CC4-5D6E-409C-BE32-E72D297353CC}">
              <c16:uniqueId val="{00000002-239D-4518-BA85-62BA86B6DC6E}"/>
            </c:ext>
          </c:extLst>
        </c:ser>
        <c:ser>
          <c:idx val="3"/>
          <c:order val="3"/>
          <c:tx>
            <c:strRef>
              <c:f>'pivot tables'!$E$177:$E$178</c:f>
              <c:strCache>
                <c:ptCount val="1"/>
                <c:pt idx="0">
                  <c:v>4</c:v>
                </c:pt>
              </c:strCache>
            </c:strRef>
          </c:tx>
          <c:spPr>
            <a:solidFill>
              <a:schemeClr val="accent1">
                <a:tint val="77000"/>
              </a:schemeClr>
            </a:solidFill>
            <a:ln>
              <a:noFill/>
            </a:ln>
            <a:effectLst/>
          </c:spPr>
          <c:invertIfNegative val="0"/>
          <c:cat>
            <c:strRef>
              <c:f>'pivot tables'!$A$179:$A$182</c:f>
              <c:strCache>
                <c:ptCount val="3"/>
                <c:pt idx="0">
                  <c:v>Jan</c:v>
                </c:pt>
                <c:pt idx="1">
                  <c:v>Feb</c:v>
                </c:pt>
                <c:pt idx="2">
                  <c:v>Mar</c:v>
                </c:pt>
              </c:strCache>
            </c:strRef>
          </c:cat>
          <c:val>
            <c:numRef>
              <c:f>'pivot tables'!$E$179:$E$182</c:f>
              <c:numCache>
                <c:formatCode>General</c:formatCode>
                <c:ptCount val="3"/>
                <c:pt idx="0">
                  <c:v>312</c:v>
                </c:pt>
                <c:pt idx="1">
                  <c:v>373</c:v>
                </c:pt>
                <c:pt idx="2">
                  <c:v>351</c:v>
                </c:pt>
              </c:numCache>
            </c:numRef>
          </c:val>
          <c:extLst>
            <c:ext xmlns:c16="http://schemas.microsoft.com/office/drawing/2014/chart" uri="{C3380CC4-5D6E-409C-BE32-E72D297353CC}">
              <c16:uniqueId val="{00000009-239D-4518-BA85-62BA86B6DC6E}"/>
            </c:ext>
          </c:extLst>
        </c:ser>
        <c:ser>
          <c:idx val="4"/>
          <c:order val="4"/>
          <c:tx>
            <c:strRef>
              <c:f>'pivot tables'!$F$177:$F$178</c:f>
              <c:strCache>
                <c:ptCount val="1"/>
                <c:pt idx="0">
                  <c:v>5</c:v>
                </c:pt>
              </c:strCache>
            </c:strRef>
          </c:tx>
          <c:spPr>
            <a:solidFill>
              <a:schemeClr val="accent1">
                <a:tint val="54000"/>
              </a:schemeClr>
            </a:solidFill>
            <a:ln>
              <a:noFill/>
            </a:ln>
            <a:effectLst/>
          </c:spPr>
          <c:invertIfNegative val="0"/>
          <c:cat>
            <c:strRef>
              <c:f>'pivot tables'!$A$179:$A$182</c:f>
              <c:strCache>
                <c:ptCount val="3"/>
                <c:pt idx="0">
                  <c:v>Jan</c:v>
                </c:pt>
                <c:pt idx="1">
                  <c:v>Feb</c:v>
                </c:pt>
                <c:pt idx="2">
                  <c:v>Mar</c:v>
                </c:pt>
              </c:strCache>
            </c:strRef>
          </c:cat>
          <c:val>
            <c:numRef>
              <c:f>'pivot tables'!$F$179:$F$182</c:f>
              <c:numCache>
                <c:formatCode>General</c:formatCode>
                <c:ptCount val="3"/>
                <c:pt idx="0">
                  <c:v>224</c:v>
                </c:pt>
                <c:pt idx="1">
                  <c:v>247</c:v>
                </c:pt>
                <c:pt idx="2">
                  <c:v>250</c:v>
                </c:pt>
              </c:numCache>
            </c:numRef>
          </c:val>
          <c:extLst>
            <c:ext xmlns:c16="http://schemas.microsoft.com/office/drawing/2014/chart" uri="{C3380CC4-5D6E-409C-BE32-E72D297353CC}">
              <c16:uniqueId val="{0000000A-239D-4518-BA85-62BA86B6DC6E}"/>
            </c:ext>
          </c:extLst>
        </c:ser>
        <c:dLbls>
          <c:showLegendKey val="0"/>
          <c:showVal val="0"/>
          <c:showCatName val="0"/>
          <c:showSerName val="0"/>
          <c:showPercent val="0"/>
          <c:showBubbleSize val="0"/>
        </c:dLbls>
        <c:gapWidth val="219"/>
        <c:overlap val="-27"/>
        <c:axId val="2050539472"/>
        <c:axId val="2050558672"/>
      </c:barChart>
      <c:catAx>
        <c:axId val="205053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558672"/>
        <c:crosses val="autoZero"/>
        <c:auto val="1"/>
        <c:lblAlgn val="ctr"/>
        <c:lblOffset val="100"/>
        <c:noMultiLvlLbl val="0"/>
      </c:catAx>
      <c:valAx>
        <c:axId val="205055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53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lang="en-ID" sz="1400" b="1" i="0" u="none" strike="noStrike" kern="1200" spc="0" baseline="0">
              <a:solidFill>
                <a:sysClr val="windowText" lastClr="000000"/>
              </a:solidFill>
              <a:latin typeface="Aptos Display" panose="020B0004020202020204" pitchFamily="34" charset="0"/>
              <a:ea typeface="+mn-ea"/>
              <a:cs typeface="+mn-cs"/>
            </a:defRPr>
          </a:pPr>
          <a:r>
            <a:rPr lang="en-US" sz="1400" b="1" i="0" u="none" strike="noStrike" kern="1200" spc="0" baseline="0">
              <a:solidFill>
                <a:schemeClr val="dk1"/>
              </a:solidFill>
              <a:latin typeface="Aptos Display" panose="020B0004020202020204" pitchFamily="34" charset="0"/>
              <a:ea typeface="+mn-ea"/>
              <a:cs typeface="+mn-cs"/>
            </a:rPr>
            <a:t>Where do our customers live?</a:t>
          </a:r>
        </a:p>
      </cx:txPr>
    </cx:title>
    <cx:plotArea>
      <cx:plotAreaRegion>
        <cx:series layoutId="regionMap" uniqueId="{92ACD810-0F7B-4D27-9D7A-AD873F47DFA4}">
          <cx:tx>
            <cx:txData>
              <cx:f>_xlchart.v5.2</cx:f>
              <cx:v>Qty</cx:v>
            </cx:txData>
          </cx:tx>
          <cx:spPr>
            <a:ln>
              <a:solidFill>
                <a:schemeClr val="accent1">
                  <a:shade val="15000"/>
                </a:schemeClr>
              </a:solidFill>
            </a:ln>
          </cx:spPr>
          <cx:dataId val="0"/>
          <cx:layoutPr>
            <cx:geography cultureLanguage="en-US" cultureRegion="ID" attribution="Powered by Bing">
              <cx:geoCache provider="{E9337A44-BEBE-4D9F-B70C-5C5E7DAFC167}">
                <cx:binary>5H1Zc9vGEu5fcfn5QpkNwMypk1OVAbhIsmTJ8hLlBUVLFAb7Mth//W1KsiOClA9UFdatw8sklbLB
Hjbwofeenn/fdf+6i9er8l2XxKn+1133+3tVVfm/fvtN36l1stInSXBXZjp7qE7usuS37OEhuFv/
dl+u2iD1fyMIs9/u1Kqs1t37//wbVvPX2YfsblUFWXpdr8v+01rXcaV/cW3vpXer+yRI3UBXZXBX
4d/fO6s4eMjKNFi9375Gfn9/U63SQMerWr9zsjqt+vfv1mkVVP3nPl///n5rKfL+3W/jX9zh7l0M
N1DV90BM7ROLIZuaFkWPH1ggzlL/+bKBCT5BiDBKbf7jZy9XCVC+jatHnlb39+Vaa7jBx//vXWPr
buC5/DHpedxtnssGDR+A+f39lzSo1vfvgMVqrd+/C3T2+ODK3sk2N/3l5vEp/baN53/+PfoLeG6j
v3kB+fgh/7dL26j+F8Qvsvvs7p8Hm+ETJpAwBbbE48cag41OTEZMJjDdBnsyQ/tx3iafAPE2wZGh
+0cMAnS/+ufxBWHmiHHCLfqErz3Gl5wQmzDbAil/UiFPsvwGjvYDPF5gAsRjkiMD+SquwbwcAGNx
Iqhlm4TiVzBGJ4JxEHJqboM8naP9GI/oJ0A8ojgyhP+I8yBdHwBhfmIBeBYGPfz4AcO7ZZKxOLHh
Y5o220Z4Okf7ER7RT0B4RHFkCLvr+N1lBs7fPw8ymGLbZLZNMH9FjNkJQYyCqh7p6jcxtR/n3SUm
QL1LdGRo/5Gs7rPyn4ea8hMKJhcRDuK6JcgEgSATIigSj743HonzZIb2wzy6oQkYjyiODODbLM4O
Aq9l20wwBPZ2G16QcZvZGFsjYKcysh/WLeoJoG59/8ggdTII+zaetK4O4U/zE7TRzxD87rfEhJxg
yrhp41Fw/Fa+9iO9d5UJiO+lOzLkv0L8Uj9CD5H/P5oRAcPLEafoNdDB/QKVjZGFRqC/gaX9eI8X
mAD1mOTIUP4UNOtSB/cH8MAoPREcmZRaT4kvBEp6S31j+4TaNiLYFtt2+U1M7Ud6d4kJWO8SHRna
sq4O4WtTcWJiQsFAvxJQQY7TNJmFIdm5jfRkhvajvE0+AeFtgiND92aVvruAhOwhfDD7hHGIpiBs
fiWagsQX4Ri8tBHCb2JqP8q7S0xAepfoyNCGgsYKdPdBUmD8BAuLYALaeX/NAp1YHAkQeUhwv8xz
vomp/WjvLjEB7V2iI0P7cpUfxv8mAvLVoJefgIaqxJaJBv+b8E3kxUdJkqn87Md4i3oCvFvfPzJk
L1ZlkB4garZPhM1M20TPpYpxkhOgNSnmli1GXvZkhvZju00+AdxtgiNDdw712PQQBtk6sSm2TBM/
VynAhd6S3E0Om5vwDx5VKaZztB/fEf0EgEcUR4awk8W1PoRuhih4Y2KhTPGKESbQOMCpJdgI4ekc
7Ud4RD8B4RHFkSEMriQkv+Sq/L46UD6EEbRRxK+LsiU4ZRiwfvxs+1xvZm8/6vuXmQD+fsIjewfO
oVvpEMVm64SCl00Ye46r9qhxC66BgwatBi897ckM7Ud7m3wCytsER4busk6+Z/F99c+7YQwqUNzC
jJGdViB2AnULiqCbZJ9Uv4Wl/RDvrDAB5R2aIwN6Fr9zsxLKkP880lCFtImwoG/kCU4xFuVNMVII
DNWMp4ToKFHyJtb2I767xATId4n+BzD/NYtbd73pBPzjh+7c09D59n5O6N+zLDDWT24ZwDh2vC1s
ExuzZ3P+47efOsEgU/GzD/VJn+/jaT++L2m37vHpFn/9UP7nejTBr3gn12W6Ku+Dg4RQoIDBf8ac
PnfmjpMfUJ8gkPsQ4/LE2xnbD+cr6+xBduuvNg3L+x/Nkb0Ai3idHiIzAtUKgkwsdk0yVJsFx9Cs
Pcp2TeZkP9Db5Ftg7m/A3iY4MlhvgnV5kDgKcLUQBX+KvZLMRCdwESIt/hRRjwzwdL72ozyinwDz
iOLIcP5YrlL/MHVlCJUZ59Yr1UbQ29yEli9rU3F+GTNN52g/wiP6CQiPKI4M4U3mNs8Okvx6rDcS
G+oOr3pZwmI2JzbaFz29hbP9WO+sMAHtHZojw/s0yddlsIoPEDwRiI0INxm0/Tx+dnwxE5S7Celu
6PPcfEaS/RbO9uO9s8IEvHdojgzvi+wgfjc/IdBaD2b4OVAeb6LZ9H8RzgWI9rb+nsrPfoS3qCeg
u/X9I0P2NO0PkQKxYHsUAecaunV/aOXt2HjTWCAsi/NRzXEqP/uR3aKegOzW948M2U1o6AZr/xDw
gpLGUFEGRT3OediQy6QcQunnNPa23L6Jp/0Q7y4xAeddoiMD+xzSIwcwxib0ZT528z13bu5JcW3a
tjGULraBnsrPfoy3qCfAu/X9I0P2MzSFwAb0fx7cTUECcAMxfi4mjq0v9IVsGn6g2Djysd7A0n58
xwtMgHhMcmQoX8Wru/VhdkSB+7QJkp+T1GN3ejN0wN442+SnoX4ZKE/naz/SI/oJQI8ojgznD5l+
9wckQ+L1IWrI7ASZhFD+o4a8Y53B4Yb5ErBR6qmdcyTXb2RuP+L7FpkA+z6yY8N+FR0iCSZOYPMq
AAp7Gx8/kLHecrU3ahyb2OL2qEX3w0R+XsH5JfUUgF9+/8iQvViXdzAExTnAyBiKLGH9jJDHAg2V
ZMaxAHl+ynSPBHo6X/sxHtFPQHlEcWQ4f1hpvT6Anw2uGIMZBFw85zjRjpWGNnu4zKA3bNvPns7R
foRH9BMQHlEcGcKfa2jiTA4yawLasDlUkRnMBXr8jGMpkGUoWWHMCaD/0gd7C0/7Ud5ZYQLOOzRH
hvTF6h72zBxAZ1snsGMGCsfQcP8azsiCrczQFbKN83SO9qM8op+A8Yji2BBepzDb6zAdI+IEdrgJ
YdvPVYodYabQs21blIqRwr54C1Ov4LyzxBSod4iODW2YT7Au1wdIlFDrxLJh8ARFz5vgdqwzPrFM
i1l0POwLCgeTeXoF6/EKU6Ae0xwZ0jeruxLGuqXVITLb/MS0YSYUg02Nj5+dpNhmsN/mH0iLbj4j
j/ttvO3HfM8aE1DfQ3VkuF+um9VBZvlBldEiNsyheLbYe+QbYdhcw8Qogp7O0X6kR/QTUB5RHBnC
N5upBIfIgoK5poTAPubnTtydOBo0ODGhOX+M8HSO9iM8op+A8Iji2BB+7FeFgsYhdDcUnU1AEZzv
n7ns7UwY6G5EEGzCGMnxpjwo11O5egXp3TWmoL1LdYSIf6gD/e7j90Dnh4DdhJ3pxAIFzR8t8s50
GQisLahfwsyRUcC1gf2NrL2O/b6FJr4A+0iP8C2YQxvoXaDvsh9h7579DpC8futQbRtgt6GP5BWZ
JyewpxKbnO4B/ydHU9IAr0O/u8xE4HcJjxD2s2xV1IcabADVa0YA4MfPHr+NCNhRKcT+Nm8Q/zcw
9zr+40Umoj8mOz7sN5MC48NslYaJYVDHhJrXs9zv8ehAJ2Bw2kd74kHpv4WtV1HfWWQa6jtkx4a6
Wh1kQCSUSGAIM7SW0dcmERFIn8M2LnAFftiX59MTJnP0Ctbb9FNg3qY4NoSfBKishylW843mHJLn
NsMM/Tg2YUesYdQFdAQj2NMxQvlNXL2C9O4aU9DepTo2xAMdBX1W//N4b2ZzU3DOyI9jFMBJ2w7Z
yIkFA9pNqJiM8H4DT6+gPV5hCtZjmmNDOotXB+v0hya0TRL98bNTLwG5ZgK24+2E5pM5egXlbfop
GG9THB3CaZaAW/aPt6rwE0aFBTPkXiuSPPaMWwwKnyNJhr0l0zh6DeEt+kkIb1EcGcKf12o17Xm+
zTaDBwZ7rizoMHxlOtFmRCDMJoLprk/x2Kg0Mp2v/TiP6CfgPKI4NpxrCK0O0VAIk4go2mD4SqPK
41TuTXBljmzy58kcvYLwNv0UhLcpjgzh2/r7ITT1pncBwwZK2Fb3+NlpGIUZzdAsyiHa2tbUU/nZ
j+4W9QRst77//wLZ10+k+3nMn7uqVrPHAwJfHEr366uPDwfONhyRPnd87U+JPnWDnd7//h7aTSgM
8kQv0qSbhbb6xZ7OgvoB3TbVGqLz39/DWYPoBArcj63gMG4OtuG9f9euny9tKtw2twUEWpQgCmo8
hZN51O/vN22KcAnD/GcTFL296W3RWb25tBn8DbbfFGAdwMJT2/x5iONVFvd+lv58Ks9/fpfWyVUW
pJXeHI0IN5Q/fW/Drwnzw+G0FgI9ywI298PEu831u9Wnzew1eAj/hyk/TanX449m3FbRMmgaIgte
RBehFzts0NdcDd887UlSVPGi9cU3I1BaJsqTZuYvhBfnMoi6L2WVqxnNymuryRaw2+W89nzHSrpT
2ml3qJdmaNxmvn/m+XPF/Y84FP5FFmjuWGYvXBsPnYy01UqrH+5jJkLZ12YkmcdvbebFM06Nas7a
6nbIkmVLqO9Ss7kK2orOitQI4Do6H5qul4TSCwYDKWRtx19To+5lUqJ1kOuHdiD33MgDN6sj5ZSk
u0l41zpRx27b3vhWDsyS3VC4ITQJO80gLlOr788NFn2ycN/ILk0G2XmhC9t84IuefjC9msEX9V3Z
YBeTjLghCQLpeYy4iSoLOWT0DkV/mv2V0tYgNXICsy2XViiU69lV6ba07ZljRqhLZKoordyc9u1p
qWklVjhgXjMLujJZqrRRjujSaImCvpjFoVHLinX5DHllK8G+dDNNeDxHfR+dUtKU2LGCspG931bX
qi8w3FhcXjcZDRd13hQyt2N4VNrzpS4ZkqoIfZmkEZFJYf2ZDSWRbR21M1YyLrNMR7OqVqbsRJbM
POGZC8tu+2t4N5kM6xC5Yds4KrOyMxEPifQiFlx4JgrdVtT6TPmNvehKv5cpg7mebkECJQ1FvQWO
6gciMr4oVFE7ReT5S2wZ35sK4IMRbsWsaWIqcZGGMtBGtmTIWgsjM2VdtO0szeFVLQU7jVGtncwM
4ytO/WiGdWrJyOiDmcApW7CY+rOo0eaCq2KddFgszD5WsiiN+MoeMv8MntwgQ69NVzyzlSR9gJYe
YvBskIFkSppIUlxFpYttO4LXyUi/533qy0wHRGpTK1lxozxv7aw999u6XAilApnDIKRFXlnxDMBj
0tPmQ8BsJlmvHrDB6EKj3lASDQldhCJXsuScfUdJEEnlJUq2SWBLPyktWeSsmXl+iw3gMrXcMK3j
7yBz/lkZErRshyitZirkA5p1lHdz0Zhl+BAnWb/kUKu7znBRuITb+rzyBlSe0zxwStR9jg3suzGK
TZlSEc2zuPjaG8J30OBVMhNtNtOqc8xG3xp+8Q2yCYP0uGhnKhm6WZNkmQyRnUi7D7/iNLsKCx38
1YvBlkT56kNfcy5ZXsl8qK9BO3FpWnEAx7zYxamorbWKm79q5M1bnyunE8ZDG1baMdPglhrhWczi
PzurtRdUG5YTJ+VGiYgLeBSndSQeMpBTo4b3okr4Z8TNqwKrsxx20sq0zC5txO6IJb41sdG5uOyu
qqHkp7wsl9mgb/QgvhTK8maoSpRT1OWsCftABl7QLygZQidMOyZ5kp63vnZKrj75qDSl7Xu5rGNa
nJtoWHVhWMg2JcsgU2eR7X3ktL0wOlq4PRUcJCUoZQovm+yDOJUsFcH3kKfpX1ZUhUufNoG0WU1l
Vwh2BpPPTMmsTEtmJt+FNkFnoTqdWbS4ylrjxtK6XYRRFJz5aQ2inPn5LOpbDiwZldMblTXPO9BJ
Xtb61wmUb6UGcbmuN8IzIM9zy82PVrmpZqEXiAXSefAp9svc5UQ3EjRMvdCh5UvD7MQiZ7ifDaHi
INp+DBrG7hdd3YczTwfUDeyEzcQQWtIqzQfd+4MbseG0r8KPKC3OExp+MOsumdEWkQVtaTyjKPfm
EdPBXEEj7yL2POwylGVLYnWmG+amDFQ8OF4QkAWhHaj6ELhVCUgtadtMxin1paXiWPY5aClUeHjR
pnCnZtmYS9V0vqxDbC2MMFIyTLpWFn7lO2kSMwlqqpYvz83dMqF3Wd6Xga+ej0L++cf/fM4S+Pfx
IN2//3JzkvLff1qss01SXI+/tHF1fn7r78N4N67Fz5N5Rw7L03HMr3gzv7z4JlcHQbbgZ0V4x9V5
Gje86+psqH66OpBjhAIgnB4F81Upoy9dHchJQM6Jw3QZEzybzfl/z64O+DMQycIl2F1jPhaY/3Z1
+MlmGDNsjBawqGVDG/ePp7CFE/h4e1wdOBR27OrA2QrgUoE7BSzAmO7N9ReuTtd6fmRYHvsYDbnd
nw5WltDvjaKV95FYDk2SCyM0yJJ7duwYtbrpmc9kZLHcTUmNJPasQLZxEc1qUTFXmwlaojYKXd7R
0qmbbIX7wXdqM1gNhe7chCrtlto6jxO/cAovBA0pvua+V83yRDPZcA1+Sz+gZSAs7UY19qSwoka2
RtLMVFnFrrKq8zrNhcR28K3B1nVA04UF2tDJOjdthkVQVK1sUIJkFGbXg99+BSt8qpkGqYozyyGV
4TuiAPctKIeVCME9swoEI0mJJUVMrgiq4ouaDdmcR2bqEi/O4IDv4oF6/qoO68pJDHtW9eu2I6bb
m2CRDXC94iS96Aj7lqd+LjVv8yXTaeKUtM2dKMdK0szgcuCidHDTndMhCGekHNY19+Z11pxj0S6w
3c2hi2WhqZ6VZeaSEDdOFeeRUzZ0XQniRK03SIEkGeiHtB+Wg9nasva9Uiq7cpok+MzrOHXjOF8m
kT/rsvBzLAy3qtLrvETnyqgdLwl8pzST6wYgrROmZqgLynRRGZjPuZWfYVC4qVaxE9jeB9SID2kT
pA6Lwcyegc9eXuMO1NdfYRn7ZKZp5qfXxlD1+SLBaS99FKE/+yEUmbSa6I6YdN4pcMgCUt8JreYw
vNR3Wg6Xg7pdFwxrJ9SdkEnTLateXbLU4zOj7fp5UamH1rBKGfL+1kLiczV017jBf9EyP0PZcBs0
oQBXWdOZ7bP7gHRnLfL7v2JVRDKoctthNHV4Az6fiYplaJbXnoiXdsmND7VdfO4DuK08rgvp+/yj
1+nAAb/+gZmmW6sqkmZkiVll9Wg52A84zNgswNXXpoqVm+TgzsacXEa+oAvTCM5Kb1h0YGzdMmlK
x8jUnR8VgxPX/TDnbZg7Ye8viKFvgzZbZiA2TsrTTvJegd+ph1nlp7nEVnTatcxzeGlc9Z7xZ1mh
MyunGJzo8IvpKX/G4bQUqb1egjSD/1IuYzuyHavKzlJTt1IluVMX3JTKih60qj7mCVs12vtgxUMo
oz68hElX5zlVjbQycZ62MXgmlDZOyGxZKnBCw6ppF0WXeLJSFEsiIGcf8dvBzmZJbJ4i7d/SiOY3
g2FtPFbeyZiYX2xD3XTEkEi0fxaKBae5EqdDV5x7Ps/PvUz/aXXg23L7xrCsU0X5R0PoawW+a86G
yyQpl1EG7+YAkY6b47R2G+J/aiBqilC29OtgUYZKzKJOpBKkx/pLN/pUkbD+5PFGySCN52Dkzq0K
vPL/H03bSxtlQn/iL63azmTYx6D4keqHVcMws3Sz0RvBqbUmmC9Y8GcAz6DNETperE1ACVv/XwTw
UGXBm3lLaDOSFg7EBVv4I4DfHAICC0I3FYcaO8z0eItVw/Ab2/G7gCww7Dm2oOADhnfThPHSqFUD
zfKirrvLtKVi1rSeyiWEeXbkRHbbXFuG2Z+FXZNGM4Si6rbKWPMFvLGukFqkxbcXT2+Pjd1MSB9z
A9NbwfzDNlk4tH0zz+IlNyzt80iourkkRYov/WhIPQjEMws8/KbKhGxaVt/aTW4Eskx4BWYxLCNf
eoO2mQPzFdJ7UVXoI6yhapfEMf4ymAbHi94yvTXuDdzNf80xAX9lh2PYdAI7QoVpw2Twcf4jsBVg
21eXtDN937UgUP7SgMKh88ruIdRs+g6H4PZ6YNBsC+KEPkJ0AYqvx27ZZNW96rTGTmDkpqurIGsg
JFGokXZpglHys1BdRbU4S7QAbwDyhOKrVsV5FLdmNwMv3boIStUki1/f1S4MMGkCwXg3OGoZpgQ9
3vQLT8fuDb818lhfppUnvmY+aFLJIgKvRp7W3VXbleIm93D8569/dvOuvcwl2RAAg16j4LXBETiE
bth68bMm6nyWaz+9TPmAL3Gk6stUl07APfX1178E4rPzS5A2g4EaMOkdcmij9yxPWT8UpcoueY7Y
qmizMl54Fe+JjCANhYoaIgqKep45ITXb5L+9NOOkGdwl2UzdYnAaFwyUH/88eL8B5M2S4NIuInOV
hLW5iuIND+aQ6JlVQmjcI4B+Ae5iC/m0KLPXVSz0aSt69qGzaIkc2oZZ5IR2mnwBI0+oq3jfr3Oj
yV1kDIntmCJj5dKk1vAcw0Bosd8V3pxHM3p8kHYGtQGnWxA4Yo6BTnsJFLJqMzVNz7jAtZesgrLS
vsRGVKVM0h5SG2etCqLvPhf5B8iIqbmVsS5wCG7sh8oehszplQ8uRxY266Ck9n1j5so++zXEzNwB
GWIIeIk2Q3NgD6BpQ5L8JZdWyQNUqopehKzIPfABKqHA86g6KuZVU9dO2RXoukl6s5ZKKdspcbrQ
pMwXMcvBf4yL5FMem0kn7bj1v7Vhkp32uoKMhFnkXywdcdcrUs+pszCE+L+iYSu9UKeXbW7oj4Ux
0JnvY0hFGoMH7i1pVLI0rSr+REL/yu9TCv4AOFeXlVd8rkhiUNcCUy5x0BPQDaweBolaHn6Ilclv
PVSzM2Vx/GHwu0Y4LVIsgairD04NXvaJbHs+uLg1DXcIu7tcF9VNjQzIR7VJZc89XdSnzCPkc6Fw
Gy0828CBHFTkfYfWPXD7grQw/qoTO3HzXJPTKEvzU1yI+D5ocgvknibRTSC8zpZNwSBz5JW1Aw59
vsCMiI9Fm3Qz1pbFHOMON7MYjgf2nQZyM4XTEOXNEk1Lt87FR+UZPnIxzqolmBrSOimCZACvbMjX
JEidk1LkNyatzEUtIJqaaysZVtzKyplGXTjMm4j7c6Pr0IrouH3Qfp6bzkAqVMvUJ40/76owA+GA
BF/vNzWfl5mn3LiiyTKFr0KExCBasJqksWWow9BwbA/iAjszu0GyKvYcWhlpsiitaOazukfXLcUM
gpoSxTKEN6ma06oVetFRu/tgRcMQe9d1W1RJssnV9Gl5rzxFyHCrW6OzIREnSlDl2R3pk7CiJRx3
Wdc5uqyiKom6MxEUw6IRdeWdJmUQ5DIkcXaDbIOehj2lNXioIvZkX0COFuBKOHdTzwN7WMVRW8ys
qPWRU8YV9j6qAll2tox6u1Vu38Wi+mDpisIb1XoZ1q1Tgy2cW4YKvY8NiI7lOwXPObxwNNLJPI2D
Usi4AOPlzbomsBzDg4n6puw9lDI4bdpLEkeJuoWUW2zHyUx74BXMzdRPBocPJmjMlESsdiB1bcSy
gdyOvtKBkSSzzA/4g1E3doBclJFqETBe80vT8HzvLKV2ZZuhk3a6GPqlhgajUs1yX9mQK9bNUMxF
qdNg3sdW0i+R1uC2m6SHVKDdQSJ2UQZFYDgAK/lm5MmAXTjdNkpc+A8ZH+MQGRoeeZp+C5NEJKe0
FFU8i1RlfRrqitJ5aGQEn6tWaTuVtiKqWnhlk6c3YIzpWegPJJrXOXAwy6rYHyCo6Abh8LDP24sE
QhJvZoColK6HcX1WUtOMXd+jfu3aEApCacPW4J+kQ0iHdRxBX4bLgYHEpX2iilOMArb0AzuCSDuK
CkiPZYEHiUovMqXRlrm4grRyyBwaFOEgkzwcjHPkxWyOc8+HlKISdj7DvRqyUxXgFvLUgqlWbr4n
sQhECq+PTwunawNjkFUXGH+VMGayN2QAckQu8ZAGQyB5wwz6uY9bUl9auegzNxVFdWHWKZgkX9sR
EIiEwtPyAoXT2wHHqTor+iSGGLw1h+AcV371mYXEXJmdB/EQx/Dyzuu0s+kMShcBMF/jMHEh/Rlp
h7cexIdBcRu3LXgWoR82N9q02u95qeiysVvfm0E+ARGZcg/WMeMs7OYplEkuhy6n7FpXJv6MKwO+
0VoGFIEq3NuQUyZJGCzLjpD2NLV9TT4Ghi2+pqjYvJyQcdULO9ZKX3U9q7iDihawUW0KjGUalO45
WDDxlXIEb3cCWrJ0IenUZaeVFh65Css6ij4RnkLJoGNhW19UXbVxPlXfXZmQGepmWZvAT2fZMEC9
hyTVsECRvbn5Dest6CfgK0/wJTNTuIu6MOFRqSiLBkdEDYhOHvtRcJ2WNoh8WYNX4MM10KmkStXH
ArO+TCXNFQK427KrLxJD5VoGqC66eQeboumsbwqyURogTA7cESiQTuCNn1ylyVcPDkI5400QcMmV
GcF70fvWqk0psNGVYf+JVh3S5z64ueF5lqdReMPBWix0ivBlIfziFnZtWYVUTAXkLOO+qM89lfmN
25d20YKD20PJgsBjdZBd9HdRHJlXXa0hLi1Q30TfWivx9TLxjOShH8RGhwQFpAggDuB0FpBe6Xlu
JVAiRF4yT9rcLyDNDWquL1v1KcgqfS6SKDRdk5QEEjMxFCdlo4j4WoZG489ikoKYDIZHxSlLoWyx
TkAh92dwfgDIRrvR2LPQNOCJds3QzMDItMU5LmvI3kG2o2rA0tIGgetdhH+VohGfjR7c9LNBVCW+
r3TaQ90SY7s5DVoCS3UJVoPDWt/yT3OApXWMSFjzIWua6qLr7fgmbHQhoXCyZEkHyeahtQCcCGE9
LPI4yrKL1OrYB6NCLJupIk2ac79vc+VwUyfqM3gi+h6JFNQIqE7ItEdKt1qKtuEFWIG+uIn9Agd/
4mygvJEDeGD9l7yihoDFtFfOlG1E/pnh5e135SOjcWJbQ9okgHTpdacNSMOUNRRdZsFQw0sakCqk
V10UD+ZlYuWQMC/yBlkXDCvWOT14N3rWqhxQa3ka+LIc7AR0h9bxDHe0K90mhiTLYuAFvP0R63zb
7b0eacfLtVV8a80efw5VCe8aWDpIZMZ+oq9SkWJQsCQX4ZwnCgq4XX1LeN1yLKOosb+YJC1atzX9
il1AIZc3nwpPixKMO7zRszyggCYEDn33IaBVlH2wy1zRK9Kh2Dr1ukzAfXWd4V9EpZG3bqI90Bng
jdXVRRxDeg8KgJE/14pHym07hE77goHc95ZlB1A9VvbFo1f63IFw9bKC/jJN/zJrPyX9fxHclZnO
Hqpx/n9rof+1IsFmEMcLJ36nSPBHDCWP+9XLDMymjeKJ7Ec+BeYgss2cLQ4m/al/4e98CuwssCE1
guhjOwSBsOVHlQBm+kDbKpxdz6BaAKkYuPQjnwJz62GIOQQ0MJwexgVAbeENVQIQ91FsZMKJUbBL
HXQKuBww620UWvLOL0TNVf0xhLzqGY8FuyjT7pynceGYdfnVShK3CKFVIs3seFirTBdQa+t78PEG
yKriLr4WKk9lFfXXlc/OMp1k8yLWgcQDtBHYETYWQdxAIThXcz9q1Ck4n8jxcw/qdq32odDfFOk8
sSFde9P7+a1QfSYNywZ/ATyA0MmJZmdNZwxnZp52ynN63gdndRy5PfGMZWWUD75IB0hJIG/R4wyC
IxyJ07j2m6+54PycBFZ0wWkKvn9wk9dU5TOe9GieYx64TWkg125E6mZ0oJBdhxo31FJBXWBxHtll
NSt87JgVqeZml19yE9KrDc3EvImhhcPwKnApVNouy1ZfYq2FU6XFbdn6H3oMlWPUu0STCyiun7dD
BYXzMK+h8toXkPjmTlvrepYCwtL3jGoGP+Y/eG1m/QU59sabF2ahJMRE4K4qjZeirD+piN7wEKX1
aW79X/bObEluG+vWr3JegB0ECYLk5eGQ81DzdMOokkrgDAIcgaf/F+VWW7J7CEecc/FHtK9syVmV
SSKBvdf61mZuDbcFaeUOXU3cwuHdSU/37T0b7BCewZj5U+T6Gd26ZJ7KyMu8b1U2zvsVyN+ObVUl
pmlvdNlfYPkc2jq/SNs5BoO1Ef18sBqWCIOtRraRXZrYK7qv8H/viiF8/f+yxfxv2zwAU6HB/9cO
4x8ywn/cRH57+Y9NBGQkuCUPE5HxGM8woFD1/iHKkr+tQ0WAv4e/7SO/byLe6k9Ci8VfQHz1Qrzq
xyZC/wZ1cc01ExsglItx239hE/mTpghRF/5iuMYlCQGo9atwoZCb713m8yuvAZE4x4Lmv7nQ/1LB
Aer7yzYVYE8NMMQMiY1gFZq/C8w/iyMNEXbY1XqByOrv23wMNyibS7Xxm+WM05zNaGB0v8WWU6bM
6lQZkSHw7p2hK0QSDCE7+8qHItXyTJ5HZaHRb0aXyTNjlg0toB81T+yO+CbtZzsV3Wx3uypHN6gs
am+XBX2vEnDFZjxycatyKtNezOXWZR2YmYndQNni2w5dXDIKrraFxWsn5UqU1rZtZiPuW2Xyb+ip
p41LigzcRQDeJg1rTZ0yDmv8V0o62pAUQont3g9tV2Hzk4u8HQAYoG00G2MRNFpL/uJ26AHhvUV2
bcmoCkFBTXI7+ew0j4xg47QuYz49eZX7IMP+XlXmxNvpiXlNGwVMiqgq6EkqCslAnvK83BPOqz1K
yyLhCzvOpI4CuwmiiYutXSx2ZGdQX4Q+KM9+7cpSx3Xts8gW8qoKVu7CNj+Ni/0Ba0of886FWJZR
EwU1Afci6kSHYaoFA78SYn/l1G02w7J4W6B45ih1d5wya7s0FXbzgm9hRqkElVLMTZfKuTg3s+em
mUth5+Xd1hi1z1Rxl3uy3pYtfFxuVXtlRBbxnuzbflGpypt7sIfH3AUgYWmbfUE938da8TlGT7BZ
UM5FCylSSgeAIEGbNFO2Xzp5nmmLo6vMcVnRc3lBgL2Tl969R3EsuQsdd33bAiHKQlBvGR1iWw9n
ySYr5qHaT9Wit6K2Pykbv5LGC7YKOsDRDRtoDHnlFbddGzQJWWjhxaRq4HQT6xBWJdn2gf2lsnL4
9NZlIP7jkFvbOs8gNmmVZlUQjy7EtCa4ndp2E5ag71SW9sSKGzZXu7l2tsE8OIl0ceG91ocyMT0T
MwjIfzxBEfBm2HQW9uDCG18OXm3fGPzQibTQBfLIUAJUzoJKRT4ta9kLak4ujtfQf1qyNxGYg9+Y
YOOVPFW+9ygNicCifExjBbkiGI60qU6QOW54VpLYdSrgOVX4Chv5dQ13JGomp5C2sIfpVeY7DW86
zg2IIA/1sJ9bD8HSP9JqShdeLYmX8xs6dU4E/A9w0FQcB1Ht4WfUkZnIU2flD0HQPFqdiEw7b3ze
fUODc5ChdYDSBvKwZAdZhtua1ePazySuIJATRzrc0bk84PMdvdJ+c0cL3KVbF1EoVL5x3K68NHSp
dovVOK9iDvyXPhCFQt+ps8dmyKq7JfP7aFlqAlYQzrxVDHkiLZylZQ0IJx/0GEkHFcWMr8Vp6rzi
AtrA0lGtpqyPx46t3zBwWyKS4TClgcyCD8MCnuQee7J6h6VTzy5QGrMUpCnMFRqCF8jdCsbMWB91
AL6BO97dYNsqcuUsEz51QURIeZyEvm+6ao7KWaADgzGxgbzywth9iTufyNEyib/0LYz+mp2zLsfF
Nl0B4kN8UF6WEZM6x1cOWi31HmzeVbiOutpyzU9lQwycoOy2GsTHuIRxCTA0KB0ZZZZ9nzHcZbd7
68cqNaLcTeXwzVfztfZMueFZDp5wrl9h6W5y5r+tcs4Y9HBoiAQ8CQM9Qq8K/MrXpz4DdqGLuKz9
tJTO14YNy7aT4Kba6XUCQunRoYtMMb71A910Cre5mjdO5j+Ttn+CAPTsEdFE4VLeL7U+teG8GyTB
F3wun3mu0QjjK7os5ylrtrzJUNrU7G4YzNXr2euSexcB9Sqg0/NswHLM4lD4ZtpAYsRmYasYdyNt
WfVmZIG+tmRbWnrARGtZAIks9rxf8jR3W7gwHrsnBnetr0kV8dZ/kFNxGFw2xH1hv+IkOMpMVFg/
7U1RmGEnSv7saelHELd3XuOm2G5A/C1nt8Wnb3L/FIz+Dt7hgQzea9hNSQZboguqq+sFu6pBLQ3B
M2qc6t0KrMSbix08IbBhY/ZuD9UB1zopzNJG8AUPkIlv+87G26T9AYrjTnnsLbO7/aRraMrTfUb9
JAg8swG9IaKmyG9sunzL7BnqqmnfbFq6wFSKc+jVWwk3oGkHcHGt2E18krsgbPSJEBdkg3MaVfHG
MnG0lVtGjiOGTdvYJBKUzje2A3YmUNxNq0C9tHYOpdwOrgANBFhDKY898Xk85EuzAYP8pagttCI2
t17mjmG9QNZLNXCVyKVF/XUZCj9xXPTkyaydMwTS7NtP9dnfW+H/8xM8/quLtJYgIZJo6JVcD0wj
fMZfyxxSeaRp2sy6lOUjq56q8IN6/8HI/E+/Yq20fnIUNVYxq0b8Cltq0HzXsbsu5c2//xjsT5XU
+jEQt0Jt6DJ487/+DscZdTOHBb/aM055/2qG07I8WFby73/N6qn9bo7+drVW2J4CaYPpZv/BHIUT
rF2/mvh1bEwqyxyFIb6H8nGkN/NEItarSHu/eWj/r9WK/4WtBK7ev28l/j7z45+0EXjpjzYC4YwQ
BYXN0O+vXCD+6qc2wgsYjlDY2RiHsD4X64cWEfwNzQUe6IHsFkxgFwDHP9qI9Rl65O8/DJmKv5jN
WFfe70sG2QzU9iEcZg9z5+H9/DGbAYKkWRaIxldtTYx0kTMSdMBtG5R7NubttaDAB3I/vzBPbTPD
vFupqzAy3L5zM3pXqfFT2J3E+Zzvy2k65j7ZTO54qhwntiZzqFtyClqSGGcF6ujyoTv3ZNfY9Nyx
uTg02GTcP/U5OmBt3bIyf/Q1TpRliINMfgbIBigSRJBo99UoktyyVlDX3XtB/qQ01FRq3+qqvowa
skJoXxZ/GuDfwXULzNZTJJ4L/ujhrLDwidJazR9hMZwzoOiDct9cXm+nYTi0GdsMbnicqEQdkF9C
AcLd0BiV72V0ysgV8gzL4NmnoIEJuYSokKxKXEtSXoRF0mkME9mbBFDGa1j0NyBLznzW8YTcAZ3H
FIf/RTkgqsNvvQqdtIEzEOfjCNk4eF+txYLR57Kc9lYfJpPX3+XcADYuAcaZiHXqXvfQlbOluHLP
3wG6SUjJHiEA74zu7wC5fLTOckFFfckzeZoYPGQzHhqld9BugXB33/yyu2DYWmqycO9yeufnfhch
qbIb/BbseD2fq9GHIaQlDsnq3RX0LuxYnEM3WQ3o62gNJ+40ieETqv427n3rrgwXuFPZE230I7i9
lLUFiWReoHAG3J5ntoz9Rp6LoJ43bJbLba3HLBEFe4f2o1BiLNug88aYL92z4yCd0MzLR+t9F4IU
t9Hs6XA2MPgCVe5KtDv7QShVXqkxSxGVlLXudlKw/UIy4+4v/d6zhL0VIDPQXXR3lYC41jI1xb2s
0F/UxD0vnpmSSZMyqpdCRCH8liRzTXmHcYPbyrH7yBv4rmxJv/o6QYqPtHqWxsSg6OAGd75Mh8Au
49Gf6Q7uJogcpu8LquWKDixRBmdxA9uwi8FMwXri/WOgBjutGGJCZe3cFoHuYL9/m8EfRqHlPFhO
9kUEbhJoejWOt6Gqusi+mpMKiRdgop+FoWcA68/WjNed1bjWsBpOkOzQCMCiTYtG3DqieZrHoUi6
qR+izGMkNjlFjdzRDw4dPLLh6kWw/Mekp+EFyR0e+Uv5NUTBE8FXauJpymVSOcEn78K3VjuPnsc+
8f6hoAko9BpFe+J2Gm5Y43aJ1+J46Sq0qFNHdl2tEjcorsAXDkEzP9FFfxt9+1CGwYGKvNgs1pgC
g38qjJOGTS0vOpvlppkQknFGEEqizu7bLucRD6s+dfLJTUaK6mUm7ctcGlxl2Xy1RCAie5lV4gON
2ZTVss8stKN2WMShmZDbQgdZD8u1sP2PtVNa6KQitUBNBVe1c9nk4ZX1joMHRdbM2QQdTD/pOttM
OC+DRBgG21Qse29f8BGeMCteNHfxwy36pcgkHGOQGjDiP6xRJWgcdLxkdgK+49nlcop12OMHjHZM
Kx6j0XFiOqgxMqp7yGe3SexS63RhuO9Llr24yBRFWZf5WF/uRlYQFcJwxle0qHQsBL6Wag56vD33
W2M7y3bKeBiNnkIUrphBbMg9qliG9zYduqC/Lg3iIBocT9C4+zm3L/kwwda0D8McmKi2wjAqLF1C
3FxOVW7fz3w4em3+AFfUjqaSJa0qpyigMxCTxToVI9yVVlePkF0Aejedn9Tf5eI8r9oNlFeIyJaA
njytyrJVQmOmA/IXq+rc2oG1tVclWrdodtpVnV5G59BDrgaWDg99VbDBsRXx9yP4v7WIDTrsX9ci
/7fuivbzz2XI+qofZQjUTAxXcxH5X4fjIgn6UxmC+CiETvzzG0j6SxmCWCkC5B46GjyZeY07/FAz
UaGskU48N9BFjb6CqX9BzcSUmD/VIY4DmNAFnYT3ifrm1wqZK38uSzeorxaRr7xA5MAggUa0t68J
BLSSmbhXY+p7TWRP/sa4/BRqeZmDBu76+mVoCnS2I7di5Y/Ohnv2xhbu/VxMThr4Yownrk/2kCXM
Qqe+kudF4HRxTerTqmnFkwX2u+rfG7aGfQj9mjlFH3dWg97fW45LMH1FekLGQQV/AaJwyvTk4bxs
TWqPVg1O3VsAkCPO4I/hGFPIX/EgWr1phb5xNCB4h9fHcfFcJCaHFxeIWQK3+Kuw2QH0YZfIBcQ6
n3qk/zgkGgg1UeuHNyYkz1NmOMyLNbWXW3NU+5DPSlYWseHQa5qGZ5Gf4VgfNtqHICfh10bOvDyZ
nJ9xvh+7rDvm+EyR0NgjGse5m4sqmThv0qp1zhlxHjJdD7BXxibCPG1IID3KqK5CwoJSd9e4kAey
oHsOPGXFzNZ85LE3yYLfD07ZvQGSeNKGzscB+1DnDv22JuhzSqneFtQLRVttm25mER09EdEZmt7o
Zg4qhOCcc+fJlb0bjcV8tTCWPa2q0SSOZ3hqQkAIXIXW1hLjnWvlX706E1sAGTEBZnEU7H1Y3sGi
bGjH3nvtiu2okP4ae+hl3dyIp5Dk7T3Sh131WXDzdV7yO+PacH3GTvhRpfIgeFeo4TKs7709tPZu
GRxxdVQWXmmT9QcdZjENYRjNOD8Ghe3Tzu0izmmoL25p4P8Wopm3QNmekRdL/KLJz+4iPmFvOztb
8FBGiiEF8Zs0/999zkPz/a/3uSdE50f1/ueNbn3ZPza6AEOmHAc+LnwRQLTYaH70W+seuLozLoZ/
g5pnP210FN4voh5raouit/q538LDH8An/vbIAPL9r/7CRver2IB2a83Vw6/BE86Jt9rNv25zi23x
Sal2vBhdxRLFAV9jVEHzH7wb8r3V/6WvC30PDSeF3GA7jv1HZp8AVZGspN3FHr3wscolIq4NEtlm
h43eUyAY25HuIWCZ+9IBoQSHBS1I4PPXTpTBAVHq8Ej8BlQnKPPlJtfunavFBCxSc6R8p6rs3bdp
kSy4mTM5TZuSCJpMFKlTVln1dS7rnqRF1wkHyFM9TjFk1GwNWWftCyqcMPUCo2zsgV+8ms4Xn3b1
lY52V8ekq2q9EdnixvU0RlYN0yfyEfRxr/ZEvOo01eVVDVBdG5jT4A1v8ETET6/vvraSg2K1H3wo
YsgqIEnExNax8SmQyU9Dmm3CJvWWZp9p1Otu1RRJr0hSa/ktRwbXdPRCnO7b6E73NcHuOFNVvvqV
6JOQV+PZ8juF0txjh7oIzx3q2NQYp49ay3K/UVC9O9AgNoB42aWwNiTycZaHhGlwRtb+0rc9Cngn
mBKOKng7tP6jJtZL7aDsBseNwm4YONJIo+vkWBZZkzqBjfQeXX/E4GxIxdSjooO7JCxo87ueT1Y6
+kSl4WIvL7QuNK4i1L6or1CeUkvppPTMnWRDcMgttK0/fff+iTT3T2IN+HHIYiJuCRody/rXtSy1
kpwvgbr0afM+q4jcm3s/siIZD7t2l8GsSHjabP1UpW3kHejGTZ1dFlf/Ya3/oXSA6gVkAxmXEA+S
t5GFCVbx7ScBz1vUPKJNEZfM4QfE7pe44jKLupk60NqqMJVT5m6UwxQGJwT2mfsqOxDcI1bJJta+
voSZraPAMW8DaKBN74AsG4ZukwXmzYeHj0g8UvSZWZ5l3SHgpaSO/b50E8Q9nYjkZYPzekm1G27R
r0CnR1NBgywyXrgzCH1px9lS6qE5HjCxoQgx0aFpd+VCwT9QFUE/SWfQC06GdHGFjjOZUDU3Tdkn
+BJf5gWZOMlLCNsuf+TIuxG3OY9LYK9dLuhBLDQ/lHQz2uX9v7/Fq174+yay6okYJ4In36wPS0BI
Nlx3s5+ubGicOeyaTF3sqSm32AhqfHi7jTGeI/VEAb5EcmzX/9jR/9mq+lWQ+vPv/MPdtJbJV1PF
+wuo1FcvgxE0cpGY3gcgN56FzOyIM9VFvgQrU6PX9ZAIOhk1Qta2vJMoghcb8VLAxdY3TInYdFKe
HcFu7cx88bh8a+ZComWT3fH7G//vmby2Cv+4g3/iseL3+n3Cs7f6P5/K6wt/nMrriJp10hgAKsiM
bI2x/TiVV4E0xAQjiJwMs73Xyv93FdRbn9yCpyYCQ/21/fD/hi4GciWamTUWZ7O/0n4gG/fLSl9l
UATAsdYZzmQ8PNf/w17W8gBzQKZAXG275jsEqLc5R/WLuPFx9CcNbMjpT+hhxda1jbsNl/GmLSkC
QG3zobDpJr3V72qde2noKh3zmblQqHIZjzms4dKanSTHBA+sWmYSxHGbG4kxN7kHy2tSrhvDQT2C
Yz4pj+4CEQJftfItTPrnLOAiNjI4G6VRuIpqgsk0HHhTwiyn3sEERQNz3z/DEHjkHlCnoQhuw9mv
0NAXt4Ot3h18Q4CL8qep8bpoRqwIIL0/xdVkzqz1n5cMLj1x3ZewFs9smY5hRU6zXz9YXnMeEL2O
gdY+tgrfPIsgIpHNR9/Qu7YtN4Rbr06xxBwH72BLHz1ad+p88eIE7OLmTRnlHpSLxWsjLIr3AcRF
1C4QfSx/SAtm8ghKAGQltTBkCKROg6AdMZJl0kjJNFeFTDgiG+5O5E4RLfN4mdeKgJuZbL1q2JRM
3i3VVGK8DfZdyzE3bsa+gD95qEa9AR/aRC5vbxbKNjpv9gVw6whm8g0b/cdcZjztqH5hBdqlYvY6
TAiiVVy3hdi4he6RyPe3gzK3amn9Dcnrw0Lqz9w0wHUH55HlUJdV7WQxkr/XcvKdS535uyXg9/JC
c6jnaBbm4Mh0WcY4yTeFP6H7kUBpB1OmgztMWzUGLznDVIxRtk5Ui2KLXreNqkZ8qXwmknJAx+FI
sqkDgLI2T/WgdwVwm/V0+FDK/UQR+DkLm++4pJcVMl4myREMm5q01DV9cjH4J0FIzUGHuA5GkYfG
Y/vaIyD3840KeLUhCHWkelmc2OFMb4PvvVHrjUM6T9Zt0c1fQ1PNKvZsgIG2klsjKUTlQR6oJR2c
dN0uZCKPhIPyrg38IKE02DkWb7dCLe/wwx8KWyRT32AaCiBELF2so/BZuJMb5xLWp4RTmhYhX9LK
h0qqgdTGxIwkRVYf4rtX34UTYpNO5kYIxe3bkJ2yqSdRU6kyqXmJ74Vfjxjq0ZGNK4WDHpbZG6t2
69gGt3zUTnuLE/yLy2d6O2TNXbAOJFojcvsOcwyifJjhJJgx7amokbg3VyHwTcGgjyUCuXiT+d4p
b2w76ewSAz9KXMCWvQ0DOfTitqC0i5QKbkBHgGZh4rJkNQYmDPMhdMRX2mN4ldTle0ObLvWrvkqs
xaoSTKyBuulBIqYSrEhurK2r49K8Odz9OqlTWe5R9qaFQK0hMyyDqcne9RoacLQ8Z6aCOuda90tH
dy3JLZCh+ZPFq89qxFfGaQXWdudt+hDCiIX6N0QKDvB1/QCx8ls4iRmqO9adW/tbKlqeUmTwUCSb
AfiRbE+Ws3hn0jYPVtHIyzIBH0D8qkz90GTJYgDejFkmYq5sgXDEdJ5UFURIx0BWD4v7XGE1e5ST
varLPKUZ7jgiHwhOanMrso4BU0VZ1DeTiTtt3blohBIbvynKDQo3GFGIfFVVtpkw8yURcqC7HPdr
ohiDg4QUKmR521D3WIv+3s7sh8wDb0ac6ZDhkTKpa1Z7oP9uFXQLUS9ViCh/yjCyqYz7sTyO4wS4
cpjcxtkUc9YCtS361yDkOT39tyaALYnj8t/WBD+eNvrnkmB93Y+SAN04QbAcxqez9sN/UCRhkhP0
3M5qi66n9e8lAZ55DrSSAAjG//IrpM3wB2snsA4cd/7aKBc0D7+UBJgkY1PE7l1G1ue8ut8lgZ+L
XzJ5qrFE01yNlx9cQiI6Iau9VG1i2lJsJjxEEI1BfUbjioibS3f2SLZFN1zz0dq3dZlAzL9twYqN
LjnMffdejfQ16+sYo7TOiyEnHtKdyZnCIDGh4xytd6/r2ynLqhQA+DvKIhZTTFaLsnrsYgNJ7djo
GucEMh5Q+YcWW2iO1SyCE+I5N0Fe1YCqMM3E+FBBw+oDwfyNm5GbfBHXTnllhATFy0wmFomWXQMP
XpAzVhDC4J9dRya+MiEALS/5AO/IZzECYGTv6eA0DP7ezZoHVy+fmpozHKSPOusfZg1BoKz5VrDx
yDzjRmJiV0/4hxpBuCjMvUcXkIMRw9ucs00/IUSqCIyOOQxuaKgwtgYm6lxdyrncdBZBThYUDQLL
NaxIZT2HDQp9YZBW9spTrgB/m04D7KuGfevVEgeAIeCbwmZjleEbkpQ33jSe6BiISydvof9umqpI
tU+ukLE3o7vcaYLU1RrFdRV5d0keo0V/mWj2zKi9YeM4RuE0ezu3bj4KPT52lu0mjYHPRpbyoidc
OlmNt/aSQb2tWPMk6Z7pPhjAInGgitKfLohGbbIZg7xw0s6xHqf7HJOt8O/FpmB9nQyyfRrxNjIJ
V7EqrAWSqNh6hY1rE5BY2PooJ9wH5E5hONpBnQiNXg/+210RiOM8Z1+RVYaSwtgDFezOAkUQY0DX
KWwg/o6eD8qvkzWIw/zO8rK9Vw705AmQ8IssH4Ks/QJZAdmg5rbJq69lq554CCcKeQgcCvhQO6T2
Z9hKmEaQiYXHmO24cemwIKeYxahRqk1XjIkJV5O52tp02lUOZnAh9K9Tpx8/Aw+lFGXww2y/exEY
5xeSblXZcbXXjELMBSCpdiF95PYKPH/gk8gsUIURw+/ORiuQjtVd1o1BTO0S/XFhESR0EGttxnYE
1geySSz1iTRIBQX9S8H8E54cctdOAoHPImxiixizbdoSEjqGF25C5KgxsMJ561p5H0y48d7MMWrI
QBzLvmaThUDo5MHwDu4QXd3NbgsxI8v2/iqAe1j04HeDzWKCOkb8m0YOr3rIC5jCA4l7QuWg37lr
MFiuBylY44pGCEgchslK7IqlMNgwiqZuiiuqki2knybV1Z0FWDpf7TNu3pHJeh8m9oDQ9kNVkwS9
/Q34iSqeOSAETKJEEVRYTwAREfkApZebYZPriR2KAom6DnQabjv83NbS77iv+oDZTKCpO0yWAt6d
OBb9dJb+XNvWeYHKncKCblNbm3dhip3uBi8WyM3idiFFpmffj7RCogMZvfvGnwX80IFsoa2EMewb
vJ8JE5HmESsQf/7NqTEQU0OYRzcC/zSorTs52p99gyVBWVMchO8/dkpe+hopDiitn11nX31r3vQl
in7LqemqrjsbRspNbht1ygjQ75bibuOKHzF5EwVxi9WEhO4rbWqxERb2YMSFQ1jWioIN4buMsgVj
gPS7ZAVGg2JrpFWxkfBg4zynZ8RArn3tQqbBeI5EF/CFymZG2yRuZG9vS0UfOoO9UpB7wlHTChMA
8xb+O+fdAamPg4MPl8yFzTD6aHy0mCFxVhbrlEzU4srDoq767HVi5lUN8i7vKQry2tp1JRlX2AND
RofxvkM/gjl5uL+uBT7eVXM8++AhMYDxA9OfsFUAGsgRf1dmy2XeRA7tH+CTP1XO8KwkEIG6Gp9p
iGlexJlJYttOfjR9OSUFopqYl1A3keCA2AA67FVf3rfM3ZoO2ExWkde5WmzM4yqRlA3BwYeVg5go
JnQp52lit3N/MNnLXBxp7t626C0DsLGl1TwWwMYZaYcta8XF6QQ8sZr0OwTyPwk2esT6whsEwfHV
pla2wySYOvIR5k1rv0DqhkLiCudT39V3U+js/KXG9ltg9p8m9yA9jrnQCN/x8dlfOx1bDgc5XCam
o8Ebi4j7QJK1WyS1CIutIxUaPVU8YwTatq5VeWotbP/GUudQ+xaKxbFC7n4pkXJ03ajvAtwtqKiI
iB68MLDi/rsTQ767Mhoq647CqUH7nJ/ndkBUCuNJ4eOUq6GjADaCL5VGX8h3w6fHffa1YWAH0LgW
GYajkf6QDSa8EldBNjCW2WUAZPcTWKn6u7M0Uq23Zm2s8i5YB42ychOiUW7QfTmdt8dudGDoyqoA
QqUagApbirpPhd9hh1jbONpbuxx9HaU937W5/elq+zPT/ANHDiDqfNlp20oa9IZOZeOj4z32LhFJ
tdRflqKC6MpzyN+lEw2Im6ORZi/gOicEtoYynWWeStILAKJmA5QeuTKfHTkudveBMVmEZncV+lkL
0gVoEf/qdksWF2NDMPTCfsTlxymOfrhbygMmUvjQ2ZZbTKLblkh7Jp7rt5t2sSvQ/3aXFDCwMWN1
fmmHBYJevYL9Cau9xyaUNxpJt4iZaj+jTVdFfTOtfXsPBIugkfcF/YLN9WYI5zaucyyBAk0/sdQG
GxymNFJ4KCHBFJpVIfAN2bVscMAJN1c/VDqqshzgSVjpVC0D1sPM14l30B0Ug2q9KhEdQwdYCOfd
9E4bIW2+9QuA2ZCZL7BDXxQEjcWv/Vg0VkogdXhz8IqjZTPNzp2S0xHf3J3vMDuSEEk602M0WVGf
Z4KjFjJKkQ1HDLx79jryMq86C1ICz72znMWqwMxFiHmrFrC7EPIM8nFtTKx6bzD/jKrzwvmmm50q
GaHo5Ku0wyz2iNm6Z7NgqGtbfNT/w96ZNEWOpFv0F6nMNUvLF4qZCGZIYCMDEjSPrvnXv+NkZXdW
dVeb1b52PSQQECH3b7j3XAZATYZxRJrzaZi8fo8ZuduUk3MudK+EjcxByCBJ2ImzbhgtZZVxGhk1
9WrmFKnpk7M439KxKJiciGUdqRkVVAFjDU92WaFrq1GmG+yji3IOaghKG7Y2e6kmXq1I39yRGsZj
GObWkqkYsKJd5Et5KhqGYA3Dszx1ofsyTsty3CZ+MabUnGHHw2Xn3mLdO512dAB+7py4OvhUW/Uq
r01oH8vgg0L8px37asdMepe/HtEq19s6+Yj+FdX4C0WcL/xXP+b8JlTmlm0Im7Gqzhz254hWdwGC
YzYzMbT9cK79qx8zf6MbRFPiukxq6dXYxP5UiCgIGc0a81tAZDaT3b8zooXw+Yd+jJf0herxTBN/
LopaRQX9tR/joYyhKILq4dEEqgubAKBE0Dt2diwSQAAGIMiF3cHKErUxrWN4jnd9Fa6juIxOZp+6
r1lcsvdsArSFL/QYun496pJjPx1mFKxyKP2rouqWY2T2eXJoutm4Zwat2QddChRjvq91V0Vohkwh
HFQE4DhS/S5x/dy6WKIll+/ICZ3x3Jo0Wwid0JY6Zf4RIpRYV2XSg4eEaZLuROrpXAReMtx2zdwd
rNyQ2moBtIPYUcz9y2K5dBxuE4sLo/fDi7bBWBOU5YjTYfKboG2wyPZiTi7sDtZTGHLJr1I/9F97
WcY+E6VwXHY03vQX2PauY5gbIJde3Cx6Tx2r2EBrKoLasT/qrvhw/Epn7FM01vex4xbgEDKaCArF
Iuxtl2n9y+hEzmowRJIEIyIYiocRV1nSed90LanXPhRN7htn2EuzNA6xFsYnLTOKfaa3Lviqfjos
dd3sLHuognZgxlRk7G1tD8nnRDIZLVd45s2t12wqA/zJIebB4sLr/SpgAeSeUc8sh8zisE7gJ4Jq
jDmjUfu0kYEAcvZSyDM9qrKSsZrnIxrGxeUNyz7X/SszTZwdRVS30mSBLSSkYpQW69LYClFYMk9j
/bWrYHjgqZowPrTjZYY6JxAxi0Q/R9XT2q69SbXauBJRlt1pGONuS8cpP1JhtceiScpv6WDBIEua
7yXD2X8WS8qxz3yFJctfn1r/V7x+r9r/HCGpr/p5ZKmtknI72FRIBkcMu8KfRxYIAE4ly/maLH2N
if49QeKowrurKyvGD4HIzxPLQ+oBUF6wV2JTpbT6f0PqgajuTyeWzSnqC3h1LA44Aa0/rTKrmgbZ
nkN5JXLzHhXBnSHti8KSN9lE9zSqeWYkUHLq1h5lKGpvNfMM1fSzm/qQcphTyZ3HngGAdiuQPVNI
0iuPFpWMXHSWO2p87PO9SreKaUZq/eBHgPXrOL9r1TR2KSuMatV01homtZQtXOdqeqtNdrh21UQ3
HwyN4nNsLgXjXhcEwNkdlvKEjwhAu4PbLArRUxlqUCyxZHlqduzEKHWXtryPS9WVqAGzaOWhYeIc
el20kZnOwsEqPgC7PQLF0hTUdF8xr9bU4Dps5HlRo+zFppb1EWM3dj8HLfPusj2k+klXM/D4tTWD
zo/2VRVG63HogdypobmL3n9d5lO2Nqi2NjWzday+9Wrq2u89U3eqxhGmL78Q/r+DZDI/I9xAirrR
llPP0H6yvBebIX6lpvn+bIs1WppTG7XXiZr4W4PH0GnSr9BbqG1Av9E9wVti4kLsokgeXLU9QJ9x
a6h9gs9iYWLBgJ0O0o3aOSR6rG8NtYeQ7sBGwkG3WIdVt8nVviLMRn3VCu9ERMFh7lmi221MIETJ
JouqXqi9R2PC5vMkLgNmW9OGFX2zidSmJOqEGYQsTyKNCVGV1LtGpOhq3Xvawldd7VyKOVt13E4o
cv11ZWAErIFlrWrWNKMYDNi2DdNMfpeFVY5vFmmQhXoprmurK+/wXPCDW6YbuBsWq31PqrE6GIN2
zQf81a+QzLdpVB7jTH+i+D23wL7WmmdBrxzNDxZ0H4M7z1vZTSw9pBfS8dlvBcNfEh6MmGkX4vhk
7O9sI5IXhSeOQ5o+14t/sTTo7O0q3gGjPzXzDPNZsDPrImQkVRaOq1bKyy5deHyG+zgK35rY9fZk
CkzUz8VduJjcJUb/rTHdgyoM9p6NkXBmnVPNTrH1ZHlwIhsxs4iPQ6fCG9Llju85nprBHgAgVRXM
YKcNvmBXuArYi/nqzZvYyggndNZ6aH2TVcq+dmFKKDEkH6XRT8GkMTCJ5wTlucwZnE6yeooEMRNl
HLfXqWP7qxFk/1TO+tbri0dkJpibuxi+UMoOxKiIcTDrEutpygIKbTdPe2ccJND/VZU68bo1+oNY
PHFovPjg6mG+c3gtq8YxoRarp9SDkSPTbllVDQqkDjSzRoBDxT2bgrmnX2d8tmDiDGBhTavZil3k
TGhLLJ07k/+gWfZ1ira8ksMDY84Lu+2PlYkqxmrvBpd96yKLHbd6RtoAuOwy0y+HqX9IKra6rLyv
C6u/ycCCe9l0lsXyJLEyrjJYrKuiSh+dwThak9jPUt4TukGf1Jd426vKZBqBFF02G1e01baY2Q0b
7XQOW/MmK+d8M436xjXqo9Fzuc+yByUdviSRfgUU8hKG5XWTughyB/kWhjbXd7Y85TFSUqvxMG6k
xYssXEA+rBNXnVHfV7F1MWFf3gw5nxqgpXP2SFlo77E44SSB5m5s4grcntom/dN4fF3h6sb96yv8
9CrlR/mfV7j6qp9XOFsg1Tcg2QQh+wNi/MsVDqQHTgYipN/VH7/f4SSNAtlH2YhrTYfa8atc0/8N
Px0yd24q8MDe36NsqCblVwkUvQ1VAsRjvFGsg2g8lHDkFwkUHbD6zDjj1TyaktHrEDIc6F1/Xkcz
Kij2/xfdkmGnnXG/ZY96r+NEp8tKukO9JGpryWjj9MPJlE5Gt2yysS4rFeyBUfRd5Y8UtLzwzjl/
2gTg+9TuJ0eP/E9fFHqH9UvKdss8ino1ZAHsM6CpRrZGPJEaLk8nMhYW0NkI73ipdAsSaR9N+qYw
onbZWK5ecOF6OHa6PgM3IDIPPsIQWfZDrmssZVy24ImhIyQvHavb19ow7zn0ehxKKugl+sp8iaK0
6Daq1dvHKhSG5QDxMCooxo9GMmPmeh42Wt7SJqhIGT9GySYKZtws0ew3HG3ADlQITSdUHo3dRBYB
OfGnM2oWVYn3mZYkaXQFkku35v+rNTY02kDMzaQCb+KolheeDpk8Stgi5x2zsVxF5FB7ZSvjKzen
UBE6rQrT6W3M57oK2GHNT8ugQnd0Fb/jqCCeGvAkQ0V6iXwipsery4/MXeydqSJ88OdbO1l1yUZ8
BfxEFEiW3efXmYr/IUflUNQEAhVNM248FRIUeeZHrGKD7DbjY6HSUArwHhuoJe5KkDOEQyraO0ve
B7oKIYrb9tMdw3BXq4AitwD+BraA2KK8Q2zCrkRy/BBqZEDgPPOakfaoyCPlBEtUCJJB9coQm2Ak
X0UkjT7bFalik6AKZhtTRSmNPYlO5UIVWHjmU64ClyIVvdSqqgWvIZlCKpipq4lo6qF47/TcaW6i
rwAnFeXkYg1bMZ9tMJCpqCdZGfl2+Yp/ovRTvVO9mXSXK7Dg6A5VYJTOvFOFTxT7f47NH8fm/+x8
+BB9tMlr/l8Ozl96H5jxbM7Rx+m2zYbvVzyR7vymCzbrHH5f4ji+6mfzYxLsijJe9SXMUKCA/Dqu
AaFIViB62h/ctL/T/KCp/9PB6aKyt1GemzZ50Ozk/zSuceMGpJnWzJCCGNSiXia55Vy7Zh1+imUp
bZC0lKnU7SZuvWVfOVk2lnhcU6QaDoFooRGPaw+x2b6FCT2vcLy/R0KSwuWHmDayuyzMius546Rp
FocVpXrsaezkuXKcTybu6TorDGAvpYoF6ntSLSRCp44Dl0NKt09LL4uDVnKarPSMgiOYHBkHaRq1
l7XQzdWQ+KfU6bILBpHlWtbjvG1tH3BGA0ImL0QdFL7erhymDJfWMB8BzZy8qgsvigRBQKb5TBuQ
3cDRNJyckYc9byffjdesKFBNmVMGi+bL95OzqfL6ci0s7Tl39KvamcqjG/f3uhOLdVhYsFYTp4Z1
M2uXbeq8jyWbnqZy9R2JZJ9Lmr64YyILOhe9OIwhMSO1lc4PLfSUNQTzc0SqyKGP048OVO2zQRF8
s+QdEgYnb9auzJmcz8o6CdIND7QW6htnFNrRqidxsonV2iVMkHDi9M6pdd0bD8nVXaHnuAzne5j0
JWQJQtCEV924DvIcP2zRG+K/WFNOVYclo2e1BF3PNGfaSY8xGblzG9vPQw0UMxRmRmgYOwnoIBpL
LBqT1mmvYt67gRFbcp7BwIJgivSQjJuU7wRbV43imPU0+Di/JnS1GtZphprbcREsx1YN85KvuR7L
vAotAn+E8MoPK4gxCT7sQfezk1H5a3T+yx0+UX36p+j7fW7DZPiviz7GZN3Hfx5dgi/6WfOp2Qwl
GnQxgVPHcKi5/lXzEWqhpiUIz10U51RvP48ulVhMzCnKnh+zmV+PLv83layA5sdmsQRdzfo7R9dX
9fiL7J2aj5ENamMAb0yQLEu9vj/UfPUkQVbH5pWcLEFHNxyIUGzw3LNWbJ1mi5SgZ2Yyf3MN8IUy
st5bE5EMDcXaVlTadIIA2LXxRYc0c1WKktAn0EEeY9r1JIfLieXTGvlLhc23f5v98jlO0HYW+W1m
pbty7o5UxbdNzWAnbaAb+TUmk1Y3TiWnyCrS3AeZMRvN/aKDFxs+wP/5xqrPpclepsCZiis7Mq/0
0dn4TXV08+aQoc05LANq+h6HdzDE047gDAwm9SeISFQPkX2E0rYjrOzNowj15fI4YdtdMcZlT8xj
uGJuXOL/DgMx4aZ06/hx1PuXbBqsgGpvb/RVuWJBhL8wNhFA0GQHSW1eZkVzzDPLXI2UPs0Qcwpo
FW1y7l0lqHuQODRXqT3Ux6nokHMkjHrcAkpPFrekSokovJROJdbMGRa0N9by6fF8Xw6W+74k/HFr
YgxvDBCyq1i2HzEYxnNa5QcbY/0qNOp5F5fSu5IJNDfXHXnX0GMzN4YblakYN2YZMeZn3dklKuQN
VoDNVtiNbkRk6uzOqZuaKOH0VgFxAONJWVKhcWLO071pEiSnqUi5VIXLmQvBBg5xc7YKnitUBJ0+
zdgRVSwdK4mQaFE0ERzKeH8qs9iUZnoCJXmxkGuXlfqhU0F3SeF9wqlzIDMRgqepOLxZBePpKiIv
+wrLU7F5KGZn2JWNv+tUqF7KGH3nq6C9IiJyTwDOvkVU4e16FciHOyrdCxXSh8adxbhpajdcWlTe
C79pMxHrl9BPbT0V9Zeq0L9Zxf9p4Ljh6xIJaDMn2UVGfD8b8rrvRbmJNW9egVd4q3LJ9jR2gBRR
Hh9rn/47ovjGia7+RIlRvozSTh9K2OMrGfvlfu7JazEm1FIkYBEJ6zFKjOuF9DD+7siytH7vjewH
49Fi8un2yXdsWhTTqRtuBm6IvejSbW/nmzAsGa1AIV4VPpIbtkcF9nU0P1o6euuW/Uvg4Gu/WfTp
Jp36W0eVyJIMsCTIjfyS9IJuzxLpsyuXt47mYtvVOuoiP2/PCbDiwJycdd42DgKvkcAnzR12iKes
W0PrHxO/6lD3dD0pTLExIQ5M+vp95FW5i5aB+07ZyZIFutOS+V7XRp3QrsgJxOAfS3LRsPvMOmuP
HmKqhMpA3gWwfkAOZakdQZrsE9N8GJjpBNjs74smPbppeT26MtA09yztl9A1LvrKGZ6YhX6MDjQh
S9PIpSRGxhv78dSjxd37fodKrMU2HGXiZPDT4jq+GAbrs0EXhMI6P4sRLtTgu4+Lh64pSRcP62/x
XbqEdYRFcQAodEOS0YnAOYIkFJWhLDxSpBIloxtie41sC3xEwgis5Z+XEku1K017O8+8hbDGAIdE
dzk0O1H1z7XF8eAJQFpu1l4ko/46ZY7DtNgkB0JW0ZbuGV6sicbOUomZ8MrY6FNsyeFMBNw3dn1w
YzXr2p/UVrlwywNiM/5lJ2i+snwI6q66oE/aw4Auoc2E21ThEhO/U+yNFP/C5K+RIHzI0CGQbEjW
YWw4zyBaCwRT5XQuje69soBd9vYT6Gc4EHTPabu8TfpALEM17fml821sIJgDz7bOHfcyTjll/IpK
BEFPRnbsaqj0vdY4+xlUHHG9yN2T8QYI1olFH+PbJH/rPH/vlualHtU7zWp2EXEMvKcBkDv+u/0a
e+zaZNJ/ysS9Jt+l20CaO3QqXY7MYag32Q0IfY27oA9yE/xjl98UBNPpSXyfkwkUO+XeVcl1PRF2
ecKa1GBiUIbSXRVYQEMiQpKcGk1OK0kMHquNj7CHD8I9ps07SWanxzA8y4PIKW9F0rabfzq7r85O
0Ab9dW2EwaJrVQq87F7/S4nE1/5SIrE8R6fk6zoDKI8W7pcSCVuv/XNHpeqgn92dR9+nvM/0Xe7X
Ev/f3Z37GzWNbYNS+7H2+ns5l6p6+1OJpBKR8El5eCmgbPP6fi2R/MJd/JLJ+VU+JGS3sJKuxJGJ
inUsqUbIt3WKhzmNeIBhiXgATrCiFsROwhmJS4Y0KJDuJwgkmTfdDWI6zSFboBop76pXuBLSIIg9
6R7HAk8rPBP0K3gVQgiOijAwTaT49U4wKQbKgtmi4BIiedPH3ONPO7Qtn6aHNmD8AikrnAoMeGPT
ZiiPFw+jZJoiLVX4FRIUn2cFZJG5NW84JoC0tPU9INEeWgEAFwK2ArNeRDCzQbYU5KWF9pL7+roz
wL+wQVjbyfjmsK9PFSDG1t13xtJJMMCOcZpJrggGI58ckqjCyxAk8uQw4PLcmjja0SSnHGGBCcjJ
UHAaeFF7qXA1swLXUJK8zVX4VkC0Eao/w/L0nCjYTWFluwz6DXdnudUVEKcdOHe8qP4eCYtTGWpO
TW+Ie4UjO+y7Dyc0lkv4K69JbYcXHOckGdl0WNxKG9BY+q1B6ba2yMEhP5zxfQWFcDeO2YVuNwPe
CExqHH9ttyWPKUCfAMQ1dKttPpsiYEdO5kmMRSPyF9gORinPs/Am+u+h3QLzrNdhrs1Bx8Z11cos
pmoiq2cWSbgphUwusAflO0QF3Z1hD8sjG8p4XQklKZW5OLO/gfcxZtlz1bJL4K5xnjATFbdYt5vr
2DGSg6e306nxQywuc14dDadBFaZZVnpi+AfWU6smoIgL2vmlEOHb5CWatyYGqTmUhrjJKh8AcDzW
D2SbW8MupGF/QVAefVoetqJCwcJHKKMQE71gLliJyhTBBUIGPjdtcqFDG+8IWpygjzf4eCU0cgYV
fqA1/WWrQOWhQpa7YmBJoTDmrgKaM0e7tDoQ500hULwr6Dn0c3J7olWmgOilQqM7CpK+WGhGKwVO
d5GIbaseT9LGSO5cs1R4dUDrlUKuUx0Ojz7pPwenAsEaKzQ7SDC4KdDaJ4VtJxxmPSmQ+z+H+ddh
bv/PRve+z1/b/9Lpqq/6eYwjnIJaKXCsGPSu+FX+fYx/wShM4fnUT3/yuDi/0XYiqOII/32F8S9N
FXhxnCgIC0D1YZDh3P0bCgVchn86xvnByjzLa9Axzvvq9vr1GIfLLYgUqcBRIOxHmdu/ANXDhJ51
VNwDDOk2h+6KRpVziBRBb+SAGwksL4frQlYH16cGkSxzqWUbLLAJmJn0PLvo+ys+oEJk3wcxZICi
VJKWNhacecaZYHUYtIJsqULWV6hEIb86L4a0nlDH4sOPfWsbfp3O2rLNKWx5qmI4YZyUpJFzLtbp
o+2VL/VcPQykzNCIoLoMHeexbTCGTOW3zte+hSVlEThP00zOQxafuip5kRWkjcR3r1vTfs/9yNsU
/GIrgqKcHZzUY69Xzzxi8wbYKuvUTjE68hG46vgwG3W7ibpxa1lLR5KwOZLqQmeIReB7E3N2e7lz
kl1+P5ZLFniRvbEz77ZK/O+N9K8TG5W80QBPE8quGI4jqYLDk8jK97CrnsPGuJJV+c4swqdDb6NN
T/u2lxhagLHtE/w+Vhq95Abotzr36vXo4PUZ6+p91P1zps3duiD/ZlUb5sLdUfjbpCE2lwnwiQjX
Y2OFpxLh65LU7Xauxq1ox2Pk+/vIsG/nZfhMrPTDLdp7ExA4NLynIlq4CF1eJG+SL1p7NY4u8n+B
6NeA+XHjDPIc+9NnTi7xGhzxrsKHF/RtSvqNML5ZkX1rdTM6riS7tyLjk/JzOMyJ+nK777eW2T8V
NHqyIi7SsZ1t38Fo5p5Kd46TP1dWmm2Nur80YluAO6PibZTJgQGpEgpvhctkBGj9jkjjiuYGZjNx
afOG1noMDNtZ95ZqIkBn4+2Vu1DWF0nIHGIhw3ndpiAN7XG5dXMWKKW97RurCawFuwvBSsj+u0ln
VCNxloKsV8sWjegyPsSz5D0sjJqUoHa5gzfPTy09WMvDluC9u8Uzj8mYmSvXyMuVxF28jlDkoKHN
3rtqeiIPp0NrVr8JvaIUr6iZRtQmo0j2XFdaUGnxXpRautbcrAyEqHZEJe9I/+oDmPX+votHhuCD
94Hz++RNhIDWXEMbsspQNsxkXvRDuYmK6aFq7GNowLrg0wjOyezepJLxilaHwLTUy3UxOcaFVWKi
gEblR4fc8GNzzfj9m+Fl7QB8X8bJI3+GsLsyOjdiIJ8QO+2EhSjv6Sq6am11NWYvvyUpK9C9wr1G
85c4SLnBFpvNFD3TDm+4vN1xpYR2lzUFWto5PbFe00rY0T52/eguboQiuNvTDRKhI9PdxNwgizax
s7D74qpyZHPoXQGPvUlgDdOwYMxaQ3oKMMPdVJUzNagpTeMpG4VIznlZK0ZjHuvryXHfRdT3qFuc
uS0WlW/nI6/EMo/VODHc6F6QJyifjXCIwnVsLgZQcVE44QtzfCwjwsD9xzRgwpTxz3X5dV1a/xuY
W5VV8V+6HvVVP69Lg3Aey7W43jz6G+Xg/HfXg9BYGT8hQbM5UNjbX7oepBkWURgMjgnPU9/w34I+
ZMMG34tVGdcbbIm/cV2C2f3DdfllCWUwbXGPgp3wXAM366/XZVbWoMREKq7AVQOvVwSjgCjB/r1F
uzNYGZ/tIsz2JNRAgdH9x7BjZx22AH5s233rivzOBQO9MoSxZorOOrZO3npNHOTQnDItVTnyhGhw
dq9DZ+i2mam/jO4U7aQxIpdqmkMz0I4syZXZaYci9s9U9Cu9pdTsw5QUzZny25XoopJ0s4za2jW7
dTc6zJm15Tpzevx7yXhrmB2UWjyidlYCz0UdVNXavRYD3Q8ZuvCsJZxqDtr9J5hCL6RHoi62U+pt
JihtAyuiQMZIYN4mXcrdjLLrLGrrKoZTuhI6Wmi7vhzK/sKT4ffaHy8SymljdrIba6J/isqQvAdK
58jQnsfW3jBt0F9bEgdXI2mpi2wfE0N8Z/VOLGlNMKGT5w+Tq33H4sYvkvv7LPPOcx7FG53fIRTZ
OVnqV5lWcjuE2D3HuSOE0mhIusD9GE40Ti3BBXMdXsl+fAFvz1jbNU6T1+w6KwMCC2F8NaDJ9mQE
Wt2+yowax8O47PtRp/Nb/MfUwT462udxwEzReRBlvfQGqDokn3I6eXI5jdITG1yfT0lsm+SZNoga
/eyxkTNaqKx7spfxYuSgV/O1z8prz4YOwjDOoks/tuJ12TEUlNAD9c7Yy9BvuUGieyNvD6KOlTWn
84+jw6FqOPH3MnLvonDe9dk4bYqqOM7kU9JaaB+TVV8sTrl1wMXyv5EfBVYKQaO3oR4DdJB216VM
85M/FffOqdKVY5g4V4fniTOQEFS3l5+FjoTMbXfO0JAh2rfRln9IjG+zqSt2dyIbiGPS5B0jsV1q
Z8/WrO98kICr2rMvZEqh0FWwwMqyuOnTeN4Cs91a3ZIHC8qEOUaLacF6D7KlhaGVczEUIWJ6YgGN
qLrIbGubM+wnYKW9sbLxmMZo2OJ2vmyRfQtLyW1sxNxe4s7vkIHab3HZEWwc0fmsnKp0b41aeEzr
Pc7vG1H7zS0po2jx9SnZdqZgMRs79KjhZxZNHyGMtiCu8qAEXnJ0y+lROu1bl/XNqq5YZ0b+Touz
G/yrB/AOdsC6fV1PbpCaLq67XNDe2t2lbuYWvxy5Ka5LNz+l+6qbrA32ToSoubsEyDzQ2yfFmkIA
Pej8yg28bqbpxQu9jfDnB95o8EWpRo2knciV2sUZHnIfS2ymB1Gar7Hj7tNi3mZeSSyCh5zVWo5m
3X3Tm5YcC3J0jGLaDoXHCD1JT8jjs6BD+sGkFJWIAymt4A157Np0N089ttkRBlV/SIhXxV0JXKSQ
6zjxn4pUcabamBwNZhxkLpD5UzhIADPmyY24BGT2LkeWvd0czBPJopnlKyrw2erTw4jzgQpJtBfG
OPLe2iRV9Ptetu99O1ylk7eWqXUvkoi0iLk9sRimIrHLjZXxFAoCURokOUopcGf34UeDWZq+ojig
AcYW4A57PXInmmpWNNjdsStBG8dXliY2O/ZkCGKrP4/gLicNhooaXlqR95ybEHEcb98z324pqHy3
v06c4Zsw6kNoTTjfhLvJUmA38VRquMGqW7P3uyBZ2itLgFKJ0r3qRepkuAyd5b4hd7sxupvQIMq1
GVZOYzMKRw62LHhYnXZjajrpnnJYU9AvnMLm1re7C1EuW0bsQ8AOf9XUQtnnseUZ/YuZYCseYcAf
dOyOuoI0R9GNvngn35uZtSxasnWW8SicLEAMhYi2jtJNoSUK5G2z9omnazPXtjDzrg3f+zSx85VF
vZZOt0H8rG2xJZTByL587urrzvUeaPPioLAhb0+F7W8m4oSfMjNE0VYPn6nsSTkSj3lfHtKuOsU+
WyUCJW77xVgbSftpR/Om7/X6Mp6mLZGzD2i9Cb9B+8YJvJGlfdNqDOoi4T9rTvttaqaLsaDMlz2a
ZrNWOawkODNWiyf7KhqjC6vrOMat+RA2flpivG5ma+9ImT0OuTZma10r9a22dGPgTd4mF2z4bcRW
AD4pEav4uzWY/RoQAY58PP3+slzpLWEelAtU4AablxbBbWg2n25HFe932RkxHcflPJUIFJJvVWpc
V4Vxa2Ul2JbKWk2xfMdWsGaZeHS1+Uo6GFgMzq/WZUFE9tHDNGuP9VQxWceAgpBvXeest7x5vBoy
TDfW4t0tZY0yvk/7m7ZLk42du+neKkW4csKhmIJCN4f4h1HkLwO7jP/QKhK4brtCjXhZraMF+2N5
IhuP+FdwvVf6XbF6srfDdRMQLBv4r/e3yGKOyaYCzZec6HvW8b7axkcq8fQc7/4pcH8UuP+TenIX
v/7Xsb71C/ME5YOpoCeeoZRbaCD+UOAK6lqqy5+61Z8F7g+1qw2B2SG3ErE83/D3AhdRBL4Xbh2P
pIgfZfHfKHBt88/zIJu5Ey+CXEob7QPJd3/8BBnqh9d5k18LPq8gfICg69b4OLhOtOsa7YpcYSoT
UmiyHCl5O3t7ZhpEOy7w8vGfflS9Cqjx73mWuFP1BrO9iWRKRkxTPHPPOHXrdCS9T/oejsWmKFiW
jiTMmKb+LO0ucBKmTyaJPnJqXmOXWVLXf1AJbkbyBTotwvWs1+dmst7hdZCS5APykBUDpqTo92nd
7lvfpwSJKHfs7WKkG015H3R7ODlG9eCOw+VoxITSt1ayixfjNW/F1hDiKRaDvXXDkHjlpph3rZ4z
92A1vbIceSSMYth6MJQ7g2wuMyUaPL0LBxD/k2mOm6GewLxYpPB59Zb0YrEveHEXpksCxuKNuLpL
hPZa4V75Zv4d3We9mznBsL0zLNDm8L7Nq8+87qe1KEeWuDI9k4xbrRPcbZtyAIiK68cO3IkK2Z29
DeOeY2x3IBDG/KGDyIwFjUUf6quYTgMCl3/UB2IyXLs7+6Vx38T9zuimm2RK4IUuBGORRQOe3fvU
NRXUhndlikvUY57/nKb67SxrrqiwcoMeZEIwO+b9UiTPMBjWY16QZOaBjDGT5ARN/CJtxKeU+OLT
BZylkfTzJpaMsPXQvOm7+Fuc8vojin8SQ6olcMBVAZqBKku49aaAFlKlGakX+XqMKFQViW3udBbl
zG8SwfZkDn3kZWX8FM7F7dQSMlwh2V0tZr+LIsS/Tclqt5sB5o2oONiFdii6iszaMdSE4uWp6SXv
u+yB3EwN7Vn9rPfJiSP51CZ+ckBV5gW2Q26CZZQ4EYn4DgrNxDrR1YzCKnzl/qlJbPeQa4DrI5lc
irR6btIG0V6OELBP2vUEX88ZeaHjsECKyYd9o4trw4CVYI/KBomFM+oPsqwfem3YVbI8x1W1hVnh
Y94AMx7JwYeWMSo1IZI/TwxPlF4fEruOlk67MalBuZYwXUoH1MDMbzW71xVrYfbNw52X5cD3js1y
2Q3nkHJhFv4hmsor3S6vjSHckwl2pfWUrsM87AwstKu+RwlUxYC2FzxOTkqQs1ZANXC0GH449WJV
8k1LeIEBHXmBB7x31oUYPlF/Z+upMN2NUatHNZNvEzu9sfKIGJn6Q6U1aRD2vr/TS/sQ6wRpLaFV
tFDLTIKgS9ZzJMFFQHhNGApuDJxF84CzIj+P4A4dqzBLiYWw6PYIG+sB1ICJe8L39b4AiN9UkpFW
ZI7X6NOV0d4hdKGj0OE4AiZHFplB7Rnl3QVnD7t3D1prMjW45MqiO9hlkTpbk0A4+2H40sHHVosk
3pprnqWmRJrkUixsvC/9vFdqaOmbwTC9PZMCHEkMjZfkUiuLub/7oc0f/VYzL/qpB8tjk+b61C6W
MVxlXb2vou7/2TuT7catLIv+Sv0AvNA3UxLsRYoS1U+w1KLv8dB9fe0npyMjXOms5bkHHjkkShQB
3HfuOftoywoG36o0oZDGsYWVSCWj1YS3bWD0TOfj3jQLsW6UhiIUxT5Yzhj7RB3NhcjsdwbNljpE
qtTzxHyiOt5dRj2EB02d7b1R8mFOCzfF8YKte7LKF7p9X6OE5H7nJmAPZ4wtXtQvjQiXlFkM9Pqh
xONaa+jpJqgzVa0/xjRqp5VyNIvmRgkEiazypY+Hr1kxlsMIkaPVgIaElZUtW2PcU+ZmqQPDu1O9
xml5a+OtZ4aVFiPcyOCLh4uqQ1NvvSslmZ6zSP+a8R5x+6cGt89po4h9KoX1aUx8E99GEDa36cit
B6g6BUL+mB0y2rRVABO+N5av4G92kWFAjFBGe1nHMxRJPT/ZTjr75KrwYSnKjc4T0x8cC+8Ubfcz
9CQExWDJu1BhsaBJt6V/cWOYPfd2E8YjyscKlibXUqDcdRTyWuGj3hDAxjuEEKikWGhSb+DFJVki
9bYGCH5MgJnrG5QJLQe01+t8rAZgnMNVBQpy4brAd0LNuY6H4igyJ1+OiA2UskuP/DYU3avtDcCR
+vQy0R26mvMQ+5LHA8RKxH0gROuLAZoXq8tESfkZxfwkai9ac9XB8OlQdSxVh+lVdp+t591zg14D
yr5K86gDRmRsjaS8p+wOtxEHpD4kKjYYZ2KMt55VvsU86Bbk6U+mSmWkxXXXF2ZAl5MmmY7NLiTx
wV13CNHmPYCdabrzgH5BJkLEcvV607LhXsZme53G4swkssYl84CFelulCASmIN03CRN4o5r3K3DR
NYnwwNkoMGyWTp+ADE/7DYxsbWPrkbvreEOXJPmvVQRsAM3dXhT4t2qbabsd77OiVOkt5SHILWut
xHO4wT91yKA+soTHItZwpR1CTT/bGiqS0hKS7Qo1Z0TH3AY9Dd6yUQesVI2dacZnNlIPCij+NWtu
joVxwA3OGrYzNQgo0e5ZJ5FO1w/1LHY5vgNOfDSs+rotMBiaxvsISLJq7acyDZ8wxdl+Z8S7IK+e
VFb1wJsvg6sfjETBQsOySM042jTDq9QbhKN/ejiRQxFjQXMod+nUS2HKmzhYNu710fKfsft77FaZ
kv/aU+N/Zv9zwnnwHzax8gt/SMvoxwQeiEX8qxX+p8nbxD6so7chO/3eZPJj8saNrELEIExGLELV
JZPij8mbSR4ZmMoS2zakWP23pGV5Mvs3aFsO/KQ4ZA+bq3pEOWTG/WdhuQtE0mZzoZ8LLGZqGl85
Ybo0+mn10ztz/v0b/tymyLz+ywvxmyCqS+cQtGVqFS3nTy+khGrKWJsOZ8uy010Xqq65sma6wuI8
ZmcbUo85OPjIuvLam8RVnVb3jt5w62yBIww0Ka9SsheHvrGQfUrEM2PqiGpZUDSCoXkCc0gswqUk
OZJW4ajNLhUvuNSr7FyqMad7h7uiW+u17ypSy8blig0VzBdnYg+TNIcGetQ8i7Ymg54hZPA16bzO
F9yEIe6NeCXNR4hxR88UHuAf4ykys3IJYfhClPBWyalBU6xTF0PTUwesd7br7RqPuT/IgdF72n0Q
uhlb2L739YgMlui7G4s9MxPOo+c2n6CMXsJ8oi405wkrnIJ2gPhsNcHBdvJ47TjW1ibgsGmjhr9Q
09yXdriNXRPwWxQdsKa/gelIUeLAHtk9vSlZOVa0ikq/K6RVmEbzC5WW0kRDk5mLgDhlhBsQC2pK
ToWj3TdtCB0oFwt4ZrfQMzaYurahHSqYqtucH5RBKuwKbNe6dVEm5uu8q92l4714HYhd6gFEzTmg
FSbTAYZJgC4Of79kA1z3y50YsVXbOpKus3ZE/qGflvZSA4Kv00k3Tq25GCItXkMVOtdZlKw54mzm
3DyGIVJhp5kbj5U+7lxyN4pt9X5V0xaGbRr3+y2K1+Qbc/sQ28S5wxYZ2+iySzuIHb0Nvd8Y6jvd
fzwsh+khYybajMZ8rY/ksdsogX84Nx9apn/oNCsvUw6JyP07Im8wp+AyYX6/yVkRkAm0rxyDFjo7
K97npHqKHPaQuV3e2fRS+Gbt0M0sjA2O76VuBFJ485oVHzEy4iYQFY2dwCsMz7BZz66CkmnZI8Q/
dUxjKqv0Jmy3JvOg3ICvNXeQRlbam7PMIqA8aUs1AGxrGh8DY3ZsUXc4wzmmqbfqH1LLkHZb1gZI
YjGlP2LUYj9N9J3ByUfDud5JirNbvwZ2fKulyidrLU4xXntDS5o0WPfY4tqOQPrglwP4TSW3sIoP
/ZXLMdFX2KNakL2wy/Yx5uFweLYTp6XBuTqGsRos22rcEuJfRGZ7VSWU/HQtJ+3uaQ6gQYyA3/pE
PSdNeUxtLlmjSM+Zbh0yRdnNGc74KIyi1TxOZBj6+MMeppxm48RYjEK7jTp7MzKBpDN93qPgpGpX
T0OzghqxY5A+pJ2ynWzndaTlebZ4GhIz5ACXvWTmpR9ajN9iX5HEybBwwEhc6muIyng9Oqi/xmoA
oMqsvW40VvosdPqN4STdWiWaRSuS+VKY2qIbywG3QcNJcag2QiuuMTM8U/eOBX0yH9iouUeio2Z9
J11qoUtd9LbUSSr9f7fRX2USeRflcWFinoFWTwGG3FP+fLsmkWuYwWRPZzoenYW5CfbjpTyily6U
1+IRUXyHzXcRHDiiCJ+++t1/v43/qvP96+VRj4jWsdzE9PzryzcBqzDFFvO5d16rYOepVF6OL7Bq
F3//dXRVI5Cjq0gW3x0zP2WfvY5nVjz281mLryIO41n2iV1gQBT676/z69Pv99+H95NnoKZqDiSJ
X3+fGoS4JeDsnW3r0NjXlQFU2nz876/xXWT670fsv17kp1/mTy8iIlVtdbqlzv26fUBFX/Vb9cP1
WaWURwkGWtzSYL/I1/r2/uT62eLUH+P1Q7sKVjfJflhs8VhedT7/0C/X/Ld6+O8/n86W+qcR4Pef
z9QRBQ1sYh5q369vQibmGfFf1c4kfE7BjbpSj9pjuMfRAkHYnxb7Z20zLk/1etha1jI/cPi+Yduy
pg/sn0Hy9+CavFD+epC8+4xe/5NBQX7VjymSqY9RD5QPTgTMz/yRftiyjd9UsAPULrtI7wxxPwwK
iLQmXUwuZbUgFH93Af5rijSgFTCPYfXzdDp0wEz/HYMCA+0vHyKSa4TVQBXwWh4NC7bzJ/22yNgL
ZPwY1z0R/NYnsEYnhEqfKbkSQcBE6+issOSBLyAOMsoUCqsPGLUEUzortZcVSiyZ/+mOeHu9EUnO
cUXD5gYgdpUQcQm/wy7zd/DFtkuh+AZxmBaU3y1k9mFjN3ZwFZmTvUtGx7dr3VhWTt8cMXAIcJQ6
2BNHe+uC9kvF7rWthoJiXBnJscs2XXGCv52I63BqtG9qmeAJU7I8agb2t3FtkiAy6RNiZ1pMXuUt
cn4qd0zXSSiUrSYTQonMCrmEhrRCH6k67Sko7YqkZ6HE+BLKnFFnUHeVyuxRoCcljzbySJ1MJjk0
xC4qXn6OcXA19IvxKjjCZrbViD/yXGsMx8wJrpMy2o+Fvu0ahsSu0Cm2MOqDHQbcTLre4hSa3JZW
i/eoJE+rsnm0DcCVeQ0PlOGKFFqDysTxuInsYEVbpgRHXrym2SKwuzurns/NkDJK2d6jUTvvZVOe
alY/hACjPTb/s9UFd2HPI33A+90TZ20qCuyEd7TAp/ng5BjpCtPZVFn5lAzZnmre5zHpaHH1lK8x
dKOl6DAJZv2LVXifVeHUO83EZ5AUnctznbeFpBjRbOaBqzgmMZ3SKfhCrcDZnZKHVIVZQb8eI21h
jSsFfyQ2BOTTuW0fsQY+uzY6LYzIVRpCgZ3COIJCUz+UkLvXucq8i7Ur9Ft1vCtlGutbvIt7oEXF
rPVMdQrVAqY4V1LtYwhLVg0CoFl1Tz2CYB4W+EMN7aOSWmEkVcMiIO0ndcSwcPq1LbXFuYZalfJx
BXmhMvJ+i5Cx1CMr09gpUqEMXeBHhltyISBfTsiYJnKmIXVND1DCSksoaxB2+4WH3OannfIl1361
rKQ2Gs8ORdSBt3BYOaBNcY0EI7ihXqqqAUWRhtRZAaRvwh7lNXLHawMpVkeSZdF8bafuTkGqFfoO
u38wHD2+Z2t2l0qqujbybprbj46XEw1EMhiMZPIDpOBUY/6U0nDRPTlSKy7HDkJ2UnmrFuAp4fjO
W3RJsS7T6qjrYtPC8G0Rn9M6vOpwAYAObpexzq4YmdoUoIkdqVw343idZ/q8d9XsOULltmxkdlsd
nF1SO1e6l59iFPFMSuOAqUAkpylEDSmchxESOjp6vBOo6jrquobKnkm53ZXCO7Sie9OxHkXTXutS
mo8w3PujlOstumX9Rkr4kRTzFUEGnJgpBd7kWBUU/8EOHqmsLliZM3XMbAVmuR5AXxk5A2U+I+4u
mJvPWq4TWNFCneKwpMpVQySXDh5v67JnD0F3yE03yBCnXFHgcjL9tG/sbcr+goP5wWSfEUdEaEe5
4sjYdajsPGZ2HwGbh2Uj1yF1B8gM5OMtpMxnDdwFSnRxo8slCuv6L9sTm06uV+rCDSCh9zcNm5eA
DUwftUf1eyVTuXuw7BD9nfwm44QxOrGyj9jjxHKhg/V0b7Ph6UMJ6Bh1a5nUGSnGYkhXmVwJzWp0
nOWSyILMDi04+wrn4K6uQkpFNclClMulMUo+mordesnaSZULKFOuoqC7qIchBFPcsadypJI21/PN
JFdYilxmpTgyRyNeCbnlYtvleXm/Nqtmb7kWjfAatUG1XI4Z+JCWmV3Cesunp5wNGjLCa92O8WaU
yzWXLZst8nuyHFczXLpFoZMW6c015DBibO4BF/I2aQOyy3yI4NHBeYXJt5kc7X1mu2eF3LPpPFtR
Bk8movlkWXPs2AfO7A2oASR0MVGwysawdAtwaojg9LBh7VS3DrtFlRpUU7ZvcgTjzk1RWIx0i9Ut
43Tr3FVsKGfT+kw7bpSxYUscFE5rFch7x15TM1jCjK133XgIjzq7T1zAtC1kJuA5qdlJXB4X2k1j
4YKynbncUIf6yrOzWZVxROokmkoO4Qb9Cq7ibhQKejZN2zzFqXaxChig5ezda073nKSsWuBEk8Bj
sUmpawWnZ4RnrbtvRuASY/IavELlG6Tlkq1e+UFXI4aYROv9Ar/qqUgTyw+q+swzD0cd/28g3tl5
GF06zN9GpZRUbYsPoo7g+Zz6w4iK6yTx2mUAy4v+k+CoVVh7zHCK1l7p0Us4dia9S9Snc5XVNL5a
p8hRucqoHybDCHldhNvJAhztcJ/E8svutrhM5RxtYiV5gWbxbg2YPKI839BisWGO4G8Q9BcN/PGy
7rFYzYqzqzoiv9zE6VpiNAKXN08snrT22ptNqEr5V6qm5ZIa8evRCcjRKuGVapA/9brqCwQ+sr/p
PQ+loq2UOmdaLmzIrpaFb0Z5UmsR3DRuceRu3nrB0cSwF8WmpSwzgfasdqlXn8osKzGBNbEakp3G
bkmHr+bV0T/tL7/P0RoHuL+eo69e008m5gIA7PRv0rD8mh9TtLT5qjK9Qnmlo/6citGZorFAaBjP
DcZpmSv8I9xIeStQYnifDv8TKy/f8I8pmspXiftyAG3aRGqsvxVuxFT85yka+wM1x+i7/L6cyP50
FAPaohnkYjCC9ll4UMK8Di4jxS/1lrBZuhlMk/utg+RXuxZFBFm2MxvKMyyhWNs0yMtdPun5cUAf
IhWYgTEcifAveAYSyMu1K9eSg1vCZJmCUlS8BOTmjGYzZlSQ5CGfaEgI3ux+WvgGF/1EV0UQmHMO
djM8FONwgJa1VlysxbGeiFtUwZ3ej/ZLNvKgbJPIW0Ef32RqSflktRn08LbWCgqWbDJq5N/7ZZE3
227WTl7rfTqBuIkN95qKuR0ktktMdbtStk9K6FaHIigPdYSAGpnxTvOGpwxwgqtEl1y37mlgoB7L
9TBJpEZ10drwGRlhZ7jVKlGDZ8PLXkUk2y97Op3Srh/QTBFcY9KFGL0JUjZsZ53SO9SkFClj1g/E
/U51pnOnTcJjnZuvTdRdd3Pxhb5psT+hCK8cBjwB1T53UmcJrHkLsJp+Mzb3GtWp3szdIdWTe6cy
6PRwJkoNlCe3iW6mwUSO7pKdCKnZrp12XnkTgEW3QFLWAnuZ0KupD/VzOoWbtGQAtYxmXocTZIew
it7pqmqWU6VZfqFNG1uJ9xlwnw1oy1NRmSwguyzyyUk/VEFkAuL6EqQ3tnZqe2w5a1QDUin4br6U
ka4Iejev6wyP6RzHSHlOfedi1LtSvGybWs1Nhv5I4JKIIIZnfAjO0goLHnJqOL3QN753Q/PDsVoD
xCdYaK2cn82mwsplvtAieFO7yh00m+ehChrWvdEXEjttugM9qIjAp9yZtinhzkVjai3y1PA5uvhM
Fc3CkVeF60QX71NElgiZYu306fvERqEkA090SKe/5q1nT3I1WhagnlzgTe+QdbBvWJO54fe3tzkH
ODhOVizo58gb7M+d6yD55dwNfE7OBX2sAV+cynd8LpBLYeT7dCLFWAFU2CNBSotKUUXRdurV65mL
4QbEs7MhaTXcVCZ9yeOg7w0jMTB4enTu8DUkm5TrJGQOcka1XFGFMLAnrA04ItqkrpDMx10OyRv0
XBnvXXcEj91bA49sQjlTxO5TpcJ46PJ3Vw2vcdnT1KdrR0OwP4Y7czO1mAnbLDnVNo5TXXscXGu6
UGWUPhdgYRZ6DYPTACGkBQ12KNKg8siHfQc/bo/BcUG5O+V1EmHn4k7e5DphfadgRNEG0Z9y00TC
LTlMKNMx1ftVinFnIWA3SSuAusC7/dYIZaMZ+CR6gH2FLeBcWu6eQ4+110ImnJKykYXuFs2L7tRA
4gp3WJEIxWEb192iiJwMuEhTrZUqy5dzN6vvtaY/JXlOKXLLv6XOxt0UM0J4mpKMKnNs8i3cmk2f
Mn9ouvz7BhzBZyzY7KY3NCWcYunNHlgfJUxE5JPmhcpuU8PGrWHnjqWvu/x2eGP1JuruLscI97fh
Cv5C+CkrjOGddIjnWMUjKzYJZ+EeL7GRu9JPPlT05WAwVzGaCwznc8rMRfMHsWV05wJTeivd6ZMA
Bx9jWA+qamtjYA+lk93i4eFXCqhg6XLXj+6Y3+Xf3veoPzOStlCrYo9zKw75sFa31CQ9TljnByz0
InA/R+mpzzDXd9JlH2rjxrHNy/eD8Z/OWA2L4l9PCIfP5j9RQfmaPyYEcrM2jePo6w53RSaCn3Q2
OFByS0tNgW4D8Ebi+mNCIBxL2pZyABUBDHkOWf6PCcH8zs2ysGWvqSGb/y1ClMNP9pNWi8zm2YRS
PI8gOEMHI8yvWq2jVaGq0cJ0cloHk04fN+QNIj3zufI87izuK2rTsK4lfYe2msTEo9e6YvJ8h0f2
M7hNEVxHQSnqHZ63Kuc+nAzqqlIs4Zwrs2mGczFUp8pI4zulGXSPdersrJN2bqGvRcmLgaXrZip4
VlVqoGur0BtKYo1FmcW+bs6wbOq2Df2abmyxMwMlTwy0P5l3yyM7GYFlZ7M+zr6BvBG3a70YY22f
53C0LyHN9MomBueorzpWZDCiQ9WPnSLcjH1n+1C6kw2NVfVqqAONu4OtrYaxnimitpsHovtC26be
ZM8roxXkEibdm8dVJgy7Bv8nkaWFWSktuZbZPoqJ3m6/op/5EmOelyDzKlnZxdRutCpKu0tqZI23
smU5/Ej0Rd/U6C2rKQSyPA8mdpWqDlM6wsaodHY1xUfq6p9L9HdXBdrxX1+iq+x//LKBwP9/J3m5
BvpxnXq/SUmbkJ3JGvlXTAmMXvYZFtMy5q9vqfyP69RDKXewk9q6KT0Vcv7+4zp1qRPRmQRwsMvx
HwfH3/AzY53+84Xq8n1Y06nIAQ7UlD9N8nUYjJai9RD4zfJhkAjuHha3gg+EGbNtzsosQd1sjp8s
5EUsv5QKdg69e26OAtUqfbGfQwhs6czCEg3xkf5Wh6eUC1JEI1swm4zqeTyjYDTA1TpTlEw3Xr/k
8hvocKWBRMLGjdGNQJY49x4cclasBLSk79KBUc5iKNw2UMu7eHwMBlviyKpLU0aw38l4bDU1fCc3
cjca6gEi16lUIygSEouuNom2nizKgyqY6dkQbyYJUUdfOGA7fA46fd/ZgHMjeOsqktI6rKnpEgPz
BJiyNxscyrbruBc0I2hKrxw/7dL+xBSe+IC60M7r/uiNxlOhl8W+Ehn1hjDg9T66iSQUnh+TvhP0
SZ6frtE7S3JVZfkwJhNtAaqGUhnQaljZr3CX1mEJnyiIaDmxKBzJtNVIAEQrs2pDPdGH0wwofWm4
hW3iLvLeYoinWMhPYsVeCWW8xieKHzjUH+LAPfYGai/TGRkTzUUZqQZoaUW6yfphZ9jdS042eFEb
XbuhHPB6ns3h4KrTg5uBBTuPLYCOqhsh62bsh72rSKm+ZgFBN6C5Y9UmwlxSzRSTlM7GTR5Trl3H
iber6im6MVL9HsISwPaJgUHHHj7j4X6eVWdR4Yr0xJ2ws/DUdUW1n9WcGxV2wm1llashUW81SoXZ
uLvc5GiXXqRq/CBbp4GFCXdhKDTdGqEj+6iq0bdKZkZFKc9hgl/NJpfIk+jOUYDkDAk1BwKXUGbv
TVHwFgOtQRp+rKz4wzHyq0AhwiX9ryD3OlCbing185ZuYdN4pm7vBa+JtSBKtZk8s4S5k2x1lc5q
p8QQKua1ohvIrWTnJ+pUxsShaiG9sgOHACCEaXeaLjknMjUr0SmFay9si5RSlXJs7ZXkXbOVJwvv
PeVkt1nUXU29ckeV+UvH7hjHjLeohXKox+akGsH9WCSHaWDFVAf6Q5gbBTm/4C4YnUOX8A5Vemiu
jQoTR+p6p0KnPdUZ7m1VmxcZ0XpcofhLnFh9o470dmiSUyjPKIEsqXD660Ezb42J3yUPYorJtJ3t
UqfquvuQeghhDweetm/h1D1I705YWDAFLZlh3RrMl5UKzz9tpydLgMtOQiVfpDGgLG5zFdOigjN0
AnwWjD2kn7h5atp8b3j9MTXov1HnB1EA6YOkagB6HXZVY8VLPrDgCpXsFqbfW2Xk3tZJM5ZLtos7
n8czlC53BQyiXcFTytek1beYiYm3VXmy47G4HFsSqjpis7zjcpfSWK+Y/bkU2HH0ulPXop9uQhWj
sqbWW5W3gHvSjTHZx0R474xFfLYc+163zaNh4tI2BNs/CKmwduQtrmFvgXX0onvFOnMiescrkLIt
AEl4JNk2x1+tZZ2grbCzl8wQj2IOL5pqvjk5nLFQd49pHwW48hWFQSW71RwwkDycteWkO2967KQr
jf0kiYpqNRkKuaRYp0DXJdMI56zp5uCS1DNbska7K+K+WAjNid+rSDnZZd/j/OYeEcePQ9SjzUbb
3HK/Zvwgqw5EMABBFaBjjcoYt5biLTCR5Y85pMzwOOswRTq7L1dAtQ6W29x5shGgkd0A81y+0IHJ
yZgQ2aKjQCDo6QZw+vbN7hTCU6I5m3F2iigdMCgfGCkh0ARtBDSE7pmgWDCZ2Up01g3lA0fhKeCe
ZJdBAhnbpdxAVcAmNbLvwBoCSBazuDOoQogDWFlUIySyIyElj8NPMz95sj6hnh5yi2PukJz5PPAm
ULSQU7hAB7FK+whbpl4t8JbSyjB63aWgpkEjoqJS22Cq433BqBiY1tmm1qHyzAIkFFe1bHxwMhuP
kmyBAGesg/rj5FaotEdwj6XZstpild42skXC4SgbJnbHnYiGCfITVJ5/t05UyW6WPRRKSjlUIpsp
ZEcFuFJ9B2Qw9imXFKtSdlmkKviJQfZbhKRuoaQmvztG/jk4qUwofz2VrRsWe/9pJOOrfoxk7m+y
GMHlrGPIUBjT2g+Lgvqbp4EtYKxS+RfIpD+OThS8gVyANvftZf2e1v4YyazfUFtBxVgOJy5cOn/v
6PRtQfi3D0eenXS8+fQycXDC5mL8yTuV5qBHxy5wTsHY7sOu7otjN4AHWCZ5X1USdS3mDYvDdplH
eTg+lF6kTrSIogjxWIieR6O95FE9+VFbsD3qxAbmlo8pDZueWuiAsjLiK17yRgMV6bDCogBaaWu/
mK0T0TyWq5nyDC7/Fpju4yCItt900GwvgE63HnSSAkV0SdiHBGusnPAJuAMpEJD+uRI+U5YbnYNv
1kmUsaRFZcF5aA70zyzsbzIKjaNQUmxHMdYB96lh1X5zVOpvporgQdxTAzQ8prpkrrRpuY2jJJl4
BDfHITH3g7BuUfJY9jrFgzpnd0KibMDkvOs0lbJxFuDg5nhJqJT7mfEWFQlSk2KycdMf7XF8EFFM
TJ2BUKF+WMm5BYQyVWVWleYTUAXCWlDiyLJfrkRdTJPpix5al9Qd2A1Vlj8p8YfuOXe5MD9Vk+Rq
m/OmWG534xjskcKxr7cD35/cQZW+TEbIc3KIt+qMYbGWvtM8c+84iOlrIkQFFLNOoXBb30YdBaT0
9fr5EO+MiEpjK2fdWjTOvGjhIK10dp3cOCZS7bpMVyNSGRHBHVPflimuS9g0tFJPo76beg3HrFA/
VPbILhT3pRJYwSp1WjqfvdcwKg+25xxag304cjaJ/Nm7sEkifB216zFQPiwPsJQ6Ah+vTmEDQRYy
sl81xNjyQkLdguqrK9EsiSOmC6Hk7wOwI9JTxRMfaSIXXu9sbTn68/G6MTX0tY7K8c5KFObG4Jx5
eIpDgFqsxumxVjBw8URdqGPDRtfqW0lPJrRfPolEZ3kfdvuOv2DXijW7NbaolslqXa3L1VzQONFP
12NtPWptd/K6+I5QdrqM1fYhD6Nb0BGxX6lio4W2suOmTQIiam4nJ7gD7Xoz14JLRAPAN2lonF4c
T77WBGcRzNuJQk7AhMp7UysR7Pkq3UwWD6lZ88ijC1wJodVuXEc1fVLF876snOsESscaeW5YVqIw
lnmfdaCIhysr1T6yLN7HcHv8po2PNllMAnzOYSpBuqoe+bIJeLvGBeCbWvJKKeywnrzu2mvMp16J
1CWXer9IptxeRsL4ImIFAaIqSZ1XICic7cw7s3CccSbLxHK/S/t7fZiLrWLy6QzkSNdm8Wc26TMP
R+fJGqyLjqF315cpBpNG33FMNHzDda+iHjS0beKYVpFd10OdXMeh7dtKeptntLdHfLaHyKFmLcGQ
lHtnPSzqtZ1xnhiqAZt2AwaqLuy7QYNmojbqV6CbL4CJ3lXDksEbnvMhsKpA0T/NVnn4BmLkef6Q
D52+0j1xmYg4bmI7fy4n82Ap5QRBwJ0ojd475mjfGDK25sespKl0rt+MoaDGywJiIlvMhFUfbWXs
VnPK6aqf3xpDf65dz9h6qlxleM55BgRFgWLk+mYD2tk2mYG9aHqnCAnVxekuADNgv1ZqRn0wmVLh
pAn3WuOlQt/scioYh8il/koEg98I/NRJVRX0YqmnXtCehMX5s5+RsuhvPiaJ3vs95gigLAV6v2Ky
oSa6BAWMExsE53d85vlSa01jqwaDdYpHK170bT3i/4e4ZOj17VAwwEyu0620GeU7Lkb+TrA6QmPy
Ywvfy5RE1TF3ht2UBy95QVAsVyix1B0sDCNrpmXVJO+2U3AKC5J5ZRXBOjSNaWsXTb0rK3Od0g3s
R46drV2Xgx/3w3lDx/VL41rrolGg7wabkpH9JlJiTClA26ibGmjL7iCpQZMAw0GN341d6Bgnam1X
h8YVjM9w3eWJu+GcTD0dziDoORPRXCE+cJXgTKo6Y69TZru0qhl45BgW26go5vt5yPnbDJMCQIhF
g8JwDwyH4gSr63dGztpG09wZrGZ/CDNvH3jzgRhUTkiJ802QzjdNLltNnYurOPbV3HLSiwSVxsz/
50pEd4WOCz+dtWxdGcxhIlIagCXdu11DYCWb7G5GlzTHpIFIpY1sJLEanbuY8Ekwq35axv2mquaD
0QVX9Nn5KW60HmznyiDsS3kvx23E9pNnJe9ukb9lbYAgAQkQN5BiUQZoUR7mTqvADvFgz5iXVHV4
0ET6WqbKOWviSxqyXlPZFa4SySRrzOozm52vEJzOujPMlrmS5KWAHU7gWH2uYk5fvYhPgSfKtaGp
vT/UDenRID0ULnHrZEzChzpivzEEzzaHqYXOpetk+Rew9WfLwC4TdafqOxrAhiewdG+leSyevDx7
EKVL8CXG+K8TJpzVSvWVDB8ImFRw+ukhA/G6NHmm4prkBqZp7MvarSOCKxdj0IaF1R6OuefXKU3O
VvEIh++ENRDv1JTTUJqYS/6g+7rVDlaWfyiV+zWMHB9tFJSiVqgMTz5JwqxbUXabFp4K2T6xwNzw
AGbqag4PORikRmCaaNNXTyRvUcvNF08hGzlnBy5ffmrccAm2Zj+3Aye3lD8PdBDOje1hnPk8x8Dg
1rpufhoqnWtkgi5xEvKPuYET4ruKG1yPJgG5pcZlt2Fye2EC28Vjua6ZdAhw2PvZKvOlqOJru3YX
gTc8agbfHAIGWLXkkKJabYy8e2cd9xjSaL+sctoXgRfKIQbQRbukGHdjRRpgW9c4EbO4bwZ8PFWr
xksFB0tF1crEyR3DY30rULxR5yxCl2a+gbnNuZQkv62RPOV04S5gv4ZrigLQfmbSLkaDJNHX/Gpu
0a8i5k7sOjFUW0NOD83OMaL9MCVfkWbBtRrc64nteDlvWo8GSbqwpsLXYDgp6V2UkZBVTDNf4jHY
JEmPzdRhkDHmN8MdyOyFb65N7l0nPa0EKpSCqn4FfwUARh8w41Qsqg5cPnfhhKzG+e1BY8U92pB5
WwyfWyPMtjrtBD2xU1nJdVPYTU69IO0uwwqTiqY8Rn1Zqkv6JNtmTwBmkHn7oXf7dZn1ynQz8dcp
VCtWfJMmk0VIKDr2XS/dl3Q7Lsb0f9k7r966sW1L/5WLfqfBHIDuBnpzZ+2oLL0Qkiwx57j46/uj
fFwly2XXLeA+FlA4dQyXxB3Itdacc4xvSDxtUrUawTHNqlxaSlZUzLNY6pchKTJ6Grdzr8vv4X/T
hrdJgOqErxBiFt1oVXbV40hfYm14K6PqTg8tY8Ywl3caNjBsnE1g6U9FNpywDRszBnkxSSqgtjh3
oXSNdfjEfadANMjBmwSCc6HMxkZelMn3N313nM1bh4AzJ9iVlaKTeqbPh8Y6dE14dFprN7GmJ/zB
kwJOp3b0HcIgTjd58czeQiYFUjgszzd1GOrbppVfURZlqzGSTSQGeLS79lSS7M4hb2RSUTDll0gQ
Mr3sa4UJXzMDgGdyPi7L2txhw7xUY3KyGlLYjTTv16y7O6fHMyQMNjsSD9ZtxxMdqVwQ1ptL/HA9
q9FeVdAOZiRDrAqV066jxI9xyUg/OMYFag8DitmgbYyKHATH7g5AA0AyFM0xNaKvpGugBFCE24vw
kPvywXDEMsm6g64eTVp10ljOq0ryt52c38W9v2mC8KGxmpvCARkZjfLCJhHNtK6wCLmcew+iVB/D
Qlk7RJAttdTfjLBXNwi4HnmBN8FU2lucBRdBU0BZTqVHPc27u3TErpyX0cWAEhOJdJRDNR5hmyHr
LE3lvuhkTDzxuSc4LS5sEi/rhjvBeUiMfBdqwV3a0wP9d8zyPmYxGEn8uqB/wNP984Rl+pnv5byq
MBGRHRuYBoBe7Nkfynn1C14EmeGGxRhycqD+Uc7bXzB36lASFZsN8RMSUWMKZsIvdDAJGIib/sGE
BVPB5wkLBxuOkCjRAZqAr+FFfLRCNVWPGkmNhmPRwALGDj+3vOq6URnJRypcWkwt+XXYKQko0TS9
qluvWkuyAhZs9BQKAnS8Tu5NZYR2IPldXgAt5WxiRa/aCN2h4ZhwEZTds9P2RHgK2qNxmQwnx/cx
mqaZ5Tqtl1/rJERUMvDPhq24CwMc+v7UAO8z/5JWNx0zZsILvyOUpVaUm5TD0ToBDbaKEPFgPtqQ
In7tl221HPRIxbjJXpcQGuMC5H2UZLOnNWDfZqMa3lDv5PtAFdmyGZ3WlaYocxqb6jFUbG85yI2z
Bt0woa2mLm3qpOu+sAht9DVnXWRjM4Nbcp8TJ0ZNTkrIFAvR4gsgOOKhNwgSaUjXcWC3I44utnKr
U9f68kL1u21cSRfoZ2/5NPdkIiPqbPIpo7lNyWQNHo1OhytH+5LpzB2ao7vJKE+kod9TIIVXjQ5O
DVAY06hMsVzT99fxSDEvmemr5iPIwYW5NSs6ziiu6G8bUbRsJMNfBh5H4cwYH/iiI7qHxVUueQc9
Ec/2GK41D9G1XmhfPVGfWO26HZT0SXjEalX29oHaGzmpNx6MnK+0YbZRih5xu/asatUdWPcXyaNW
zINgGyfD0ew5ciCFbZhQyDVmZHVjIAh0k3YgKdF3yIuxG1dNJ0IYAMMhhWxoaR5tyuCh8MczcU4w
aSi2pWGUZl3GxIH7g1Akm8yToyagxT6jKzDExmo40loo6qR3bV0FmGOesG6zsxmvEsoUill9pkiC
WR3iPG+S6YHE3naTcM+aJHw4C3faJOpLJi6HhyKAkpkjlDDihV0qHFSkUb2sDPKFO5tINN2PX0q1
0BEchYLSEqJ8HjlLKNnYlOORDzmsvY0k6tL1qajdngfclblTNb+4TDLqoi7UN8i1pnjmVL7OAq+m
24uvlOgS5E4RxybHTKcjOkcnmS618F6FUNfQ7g0ioIzrqvEwcWSNa8Wai7f9oNcGMW66ASCwb+UZ
TeKNRGrm0WoEzhi7ahhzhuYS8M5VF+e56zXGTg77ggOdcFzEPtsqacOtItAJ6gmVUR7yLTUOIJ77
WvGOUu8v+9EalrCyV01Jm9h1UszTmGVnyI7ndpk8B4mxtHPKfJXHpCisgQ82fSyCejtYfbGJJQs7
XqgoRwj9U5iBFFyi2fW3mY7yu7W9Q1eSfRA5JgxJh9FQ1nGfd7gIPMBMQqkRDJYFEGwx2nAfVW8t
l42+sOtcXwmfM6cslTXzvezCD0ABCr/VthCMxm0ZKdJKz0t5kZfF2WTYtBxjsZVk/76QUu2kRiGW
eCaPGynUHUKwiq0EFdwffA/pevFQomJ8q7N0TgOz1c9WFL2O0QguJHM0PBv/7p/v+6dMf/jX++cq
ec3+Qko0/dCHDdQ2EBKTKac76ntn+49+uPrF0Wydf/6TofnnBoquQZZJ+/2uUfgT/IBlT7NVfhf/
g10VB/A/2UARPX/eQCfcsYyfENeezpP2aQNF6mLhVLMdvDEVKUWGMharSsv97KxJWaAujCCtvUdm
ftWZBBTW6LRDNDp2zs6MnF2VOTHlVvyMSG8rKLY7tUERp+tMZgotYQertHGTDVq5aDvnTJv3jVyj
0LUq4txbFX+Cik8fE48BSZswIptQoqGQ1lKYPBsVKVhWlO/8qD/HU46R2VRz+qVrGIRrmXYxcV2Q
YZxcYp4kVvhoDiodBPC9lLBTTlIri7UAEwvyRHmOUgBLpK1vKtu6LwhZGqv+hXpib8MRN6Y4L/PB
qaJ5M2UzMTR/BS83j6fUpsjBIRRPSU4jw0X85Zmrdsq6JOypm1Kf+in/KdakalFMmVAyVr1FS8oM
CM7xjo77Hj4dhrUpT6qakqVUWuqBTm6b1vrLakqfYvG3FhGBVADQkSGDKih1iz5M3j6khFcRGEPX
LD9iIAF2kXrGMq1JuiLZb9NP2VdOSJCSglV/Lvd6h6WSjCyyhLU5vWNk2wRoQYI6pwZpuj7ZxYEa
fRVpZ+POmaikuYc4AXu75ounTG1RrirKG6y5rYJHs2/ELmLdZAOisdG953r1JHzlU9aXmFK/BuK/
RmLAUinr7/k+LxrjcUzNPcoyt0sS4qMi4KHeVT/liWErjOo5jnbcDpDfWsrAMMYFUXyzRBCljD9i
8CfeWW3rVEz4J0I29IFkudLZq5YUbK04ByNG7YDhKypQ18phsQo827nySNJi7X9XAJc57fRukgUX
laEnsDARC7NRcNKwskrdWUnS3tk5aFZpjOX7f5fD9+VQ+a2Fed2mJO59bX4uKaaf+2NF1L5ME0Di
Nb+5kVlx/lgR9S+shbgvDFnTweUwPPyPaAsIpc7QzkCdDAgAIwY1yn8mhPibZVnB+PznXPEflBSf
JVu6rVKavOs4gfKQMfWpoGhJTbNyoz+18tYnSEpc5vXqwx7xFxicbzydP4eQvAvKJiYXDq4R1USg
Pgk8P5ANFObygI7r4qT1UGdI1zBqOBOBpmbaKZDh+k5UlCE+j3lo2ocAY+A9K4Qan23ZEG4gp4NK
ylDh1uTblsGwC71kYeKdG0OFhvqouUIkJ8+Q5kkO07l2iIPLrxoZ5IYIlMVYWpdDWK89USJlhttM
NIQyN/RyKxX9UbLj50TETxKBjW1RbAiuu0ebRDssDI5+Uy9sNdlYQU1s8VC90RvE5Rv284QVC9mm
TkkC8WLWwLgqO3o0rYUdAk6nVru8vXvflDeyw+lVU4ptOWSvSY2Dwxt0RE3pq1fINKvSgrJCHoiZ
JHm+SNqd11hTFvMkZuixGRaW/DzU2VbTQXcqenbdKT6RE+pNNfB0q2FzF6eixoHZv9SmvhV6lUEK
LvZZMPRzp7Q0MrM8w/Xy6qoKMXRbet4sfKHtsfYioqu1c9I7Pntcey9F2nLsrWFBFUC8o9q8RVbJ
9CJUId2X+SnL9Qurr3QUHGU4S+IyWpvywHrWsKoPUZstwkJFEdNxVtSL8U7BnaNNPs+8lS4N7Gvw
qslsSfEJOnb8IJWVPlM5dToElB2SpldcJFxbkm2othRk9Yrt7/zmBeDa0iGBLEx71dUHmPhOkt15
I2GoXokrMfeVbWW31bzprNVoGS9FiHCnF9VFa+kvdp1y9I3CNzul/eTr9jgvG4f603zTQa1N/l4S
j3vGJtE6IK6Z/qTt5n566tT6WYkiorN1xqoAkjZJGDNRIysgtCdxn4a7R6+bfqFLsuPiNzwhSrnp
fNLrpaQBphdU0+z3CqdfOc8tv3UzD+kRimNMp3DxptXZsaMrFX8Ocp6JbN3dxRAHAayYb5gHHw0F
VnfQQ2rRhtibYQKM91maVFDKw8JlXbkhSv4q041iG8Ta0U8sC8pygEUW3HkXJdw9fdku7J7Pw7LG
h9j0oPawf3dR9qqTWbvsKvkm9hP6fHggBkDvyJIa5j/SWyPZDwSPokeJIctpClP94T3WwxrNHLWy
Rlx98c576fWq9NYFn4YDOKq8Nvx+nHGu4C53kvgmljVnY4xDdDK1/rosVfag4jVFnBnGRYLqv/iq
NCVjXYY8yHuYRsV9cwEFO7rT9YbURw8gonmLlWVYiUBEuzSn3ytJl1UbOdNJIymJs0mrfN719oUE
unVeOUXu1gk2RUYiro8xa8i1PfUXpnJGUBLZngXPJpb74lDn1n1gG68QUMsZy1rJVFlZpklBcK+4
4Dj7JA3tRd+E29RoH/wWbyprzmWVKYuoUC5zRdv0inRJBufclPxbNTYfapxquSJfOL1/gmBxEilO
4rpZjgyIPUd8pdmZUPmSmV438YJoSTeGmmnVFSRUpmRV0R0sK19UJV4KDWkmKgMynhza3JEtMeuU
oItXt2noxAtPrV/rJliq5XAn1a9Gy53YmdZS08m0db0MiOzkr+cQG7WCcCe5E9at5XfDqiwr1Y18
4tENu2iKQ6xp92muS1fDWC6sLvPJmotYt2Zxrhdk8RijtqJQrVw74Vxma+ltXNbLqunv+z65rUvp
ARGmdpZbYzyx4ZXLKimfSlXZBJX2dfDsYzmKg0MO1JRqioSXmdkcNyhu9ohM9nRMnWs9tcXeT4Or
0PefmdZLbh+3yUVFo5XDZgPmJ2NOS5zFQ6byLfbBdRjmEaAIeBtdfU+g1MiYTkuX3oRuApiIoS9k
73Ed4I0cDxNsqm0BnrXBtmVGjDyFgKbgVzlt6Eqv7zynbonbsdI1T7M9L5Nmrptdt+6Upl8x2cld
Lc3Fqs9kvMkJTAz8UgxVktBY98QUrjnLnsgNvKz1YGrurqJuOqBK3kuYo8EYTeWao/Z9pQxXvlGZ
G7Bq9zlmAlzBo3f4/bbL4eGDa+J906WDSVYL5glak1OR9nHTNZO2AFhXtqccuxE595F9bfKqjSle
5O9wPz+eIqZrUemZiqZA9bMQL01V14cNvq7hIhCa0p+w4nvxbSmWgfQ3xJ6/u8T09x8u0YPJTvo2
6U+EwrgCzXjQPerF1e8/s7+8iEOhaXFiU9Tp1PXxIjU0ziHK+v6kVUQP7AbpIHWb31/i56+Fj+rD
JaYO74f30TAB9RV96E+6fZWWyzFtFpxCMuspEn9zpUlt/+Op68crTa/kw5USYtJSs+HN0IuZKRlS
D3XbYpTtFl1KONf4rSfySx7+j63pb/cAZkRD1/DbQ+ueXs6HyzV+NIxVo/RUQPdKg6zTvPaDC5H+
W2v8B5fEB/rr1stD+/z0c51h8DN/1BkKdcE705K4winE9kOdoXzBu8Uua+GyxqpFCfKnOcTUmHNY
9BAme9dHExdTjWme4fBXkw7xn8GSKFt+uB1RIkJcwjAO8t7CaKYon278pKkasuwH+dhEjESdzFiZ
NBEuyPeeDoNKcTbopK8JDnEYWXv1Ms9DhdOpvp0WZ2If2Jxp/Bm7CjoN9PSYYWdvrrq+vUrsodhX
o8SkXobGYL9A/kM6kTJmJIRpPpr9xvHsZWihNijI3GtrOAfMODkL9PpNn1VrPQyy69LngOYXxYvJ
KSJvixumpoWrpwAgTb98SQQT7LxG4lf2/Zpx/IDeIg+yMw2QlRLp+knSzAsPMvmi6WEDpr3kzSUF
mmeSlCfhNU9W6794KaNtxhkyJ/Ci3IDoxvKQS5dNYicnp6kUJCOBM0u0avJIcJrzQlN34YhgMvAE
MBsaKpWjfa1DEw9nebAbTN54t+5DVbtucgf4ZaS+QgEdFt7o31Sk1IU0XFtQ45A/lTWpH19pgWez
CMdv7MDSl6N9baoPaeZfRKNzrUQM0Y0RqXSlyteFFaHb5kto0Ne4CV0jV22MJ9HW+HWs+p74cwJs
ilCZlViue10+Tb2VeYAJIHSm8XTa2/1WCFCjIiveZJzTspkdGGVcdMTeb7SovmxNjAWDwUR9rFLU
emYyi1CNMpfA4TcCIS0lqWWsC9OrQiSU1PHazquU+PbaPjpqIVZJZmPUNaONktE18Wu4omWHoGi0
/LPUxqjsQuPFAQh9KIX6luSGQAdj5vAQI9U5JEGFAzpjWOzFhj9vjDReZoTbbf04PwaYeAEN28de
yhGzYs6ik56/AdbRmE+TYVmpB2bmGcXASNpUqNPGanPIq4a0igYKlE5pH80iuI3juHUr+jWlGhAy
S0MHUDcfbgIZE8HCeGuFhIt5+XPqe8AWNX2rZ9JZsYs3PSACJhhWbUldkmH7c+Wm0jZmUm4KM90O
jbHQfQ2dRXzUtRawawJRXs6jO7n3boxUqte0mXIqK+umajCO1Iq68wqVcY/dtjMgM5xnZfkyFc1W
Zm5QxtFlyEEcge1DL1fPhsOpR4mJnBB1d7ArRA2VCbYll7O9YfPhGvgt4VfpK1PGSYHmIJ4TmbWT
S+UFvROy20bcFZpKhK9SQHdGu5s3jN7F0G1iJFDwseVDn/TPAZ81ZT0g28zED5Krxb2WFXuHIaRp
o/IPNMgwqvfSyP3SqqjlpaQvXfCkuRtH7cUg4hLgVhK7mTC+Nj3xYSWpGakd7UqPk25I39aNVfqQ
Qf1oR+UF88wbJR5vFak+8/qYm+lgD3pnXw1ZglaunftjRwWN8dkuByRSo3xZO9qjaJzi6OtB4oaQ
0reYM6VNnkIGy7pwh337Sm+l16CIL20zM+gWc6id6RpqQM/it4xVYKxTRMGVV0Kr1KQEJJV6jmRE
TLamA17HTUFytRUDXOAmFjYtV9VHDQqNn5eXJ3P8/PAJ/OEcqTKpdob8Qsc1ct+3l381/wq736/3
2U0m/kIiMP3M931WMb6YSAAcDI7vMTAcq7738xQbS7SMyZJkTOubj/r7PmvRz2MgYplswVjvJ17h
n4r/KV+YpAH6bzQD/+mE4/M+CycVmAuvgdxEDWzEp2OfFiSF4ndWc0hjM2AXxaM85Cldj7NQuxGR
VegE3mgu9KCTA8wjXdwvDKXB1pxDVc8I2hWhllyUdliKIyY+A2GS3fYGG5IymGVLIZgE2gq0NN6C
ma4nYY2S04s6dS55Tp49jpXZ6ierbZ0qm1ty0ekXACx6dgyFuIr6yRqbahwxCXlWjfhqqDpGrLAa
qlVUF84+KOWAPI2KFNKe7blkVhnbOHHKNo8N4CcRTbCy7y7CSR2NTD87WEncXipm3D/LmWEUeCUD
/7nTq2GZ1HK6C804p+mSe4dIIu4O31yAnJzYEoBpmjgrluptEAT2e5LZ+oOCTWheIUnPe8wGSM3U
6skOae4nDUo0N0DPuAmgF1yDL0G5FmQGT1/irLog6elVAebG4gS5Tdcu7VFOFsOk2U9ambwWW2Fu
YZC/hXFSJmEPS+kyBkUO9ktBQFXXeClpFGrPfE3NuiRyjfyJAhK34wTqozYSJhuMI6FdsdqqzzHd
jIsW7t5GMGS414xam1PSoCstKLFHO22PLWG4fKTZhowR5UqpQzlxIwjse+bDzsyAFnYQU0ivLwwQ
dFN4r+MkFTmTjn0YiWFZE3VD7SzSyg0Yl7wgWEt2eKvq25bAl2VNgBiu3VCFNqEkiOgD5vgCmBk3
SmmeaV0Rh1Ya9UkLtWKOhiy/QF/SXRA2tkXNOUJmluxlaYjhrWc5XdtF6m+HnFPezIgsaQ8AQ94S
2AJxPBdo2pumNXelsLNV4aNz1zGtcm6oqDVG1fG2SSWZtzTg7jDtqjtVsosjL99bSnGq7+tcRe5a
VfJRjAF0abuPNn6IgjHHCkpjqBCXwRS43dV9uRBhC4OiG71ljbPYn/+7sr5PS/TfVjBXefL0V26q
6ae+r62T/Mqhi2AisSKDz4FH9X1tJayWgYeNKMnUcD5Pf/V9bcXFzn9KE+L7uvvn2mp/kbGiMy+B
IzsRX/+RmwoF2M81jAVVFogWIGiVJsGPNa4OwrIigUMc7cavThYGissQ0el9nujqVvRx/CCUxlra
TSfveyJQZzzJ9JNxDtxaTo8XQM6TFeThEMtM7i0sqQGsEkJ4swl7TBIiZjtN8XYGZ66zhm1r1nU2
jpB2xKwq58WwBv65HdQR3nwTNGsFZMUL9sZsRdPCm8BMTDOLenhMg8Df5mWAf2NyOqt0zWY1Zlqi
uMSto5ZukGhPwkutbWsq9hL3TX+RwYlcgJsY3KFxPBc81jHW2hxlONhAx4SqRBeSigoTY/4uqZDf
5RU2QosCv4t+bhBflOPoE01UPASTLgPJqEuLdxvhkmc8gHZDxbiEb99ST77iE8guMLFoFQtgRvmH
9iOUG2nVTHqQcVKGBJNGJGE3YueoN2FD+qUcBPoqTjJ90U3qEpNZw4y0HxQnKSIvL+/OY8USWSSc
liCEcZQyjEUUY11XfecQaUSBdYJPR5qULWhrtHk6qV3qWiU9bVLAlEhhWjV6LCdtTJo0GUpnM1oo
Pi12vxwbfAd8YYSkVKjvY5nQBGUNcmQmJMqIwehWaUOnXoxt8dTlfrQfGv1Viik2SkCZbJ6yPe+h
I8aRf8XI8JxaYJTiYVipXXKrRn3j7HSMR1RfybErlVOu2reyX1tofMJNQfb7QAHGMIYRfsF1zAk3
mHS6v69r4qPYlHFiKa+GMa3PZn8FwpVEIEofN5aZfqepfCRmFQhDvuo0YxcNzr7o5VWgtOpiTHzF
NT2TYjVa4vA7piO8JqSyS0dP4VcaYm+IYl7E0g0cJALuB/3C9CAHjS1OEbXCPKNA7Q3sFw7lK6qs
GzJ52UI9RFj5ZG+G3SvSQxkbeU1SAEHOnEoqhPAofpfIxlAEZwVPRRrGO4Xw3pbUSEJ6CsfT5pZS
DTsfINy3Jtm/x1yFE+avj7kXYebXP/eTph/6vhYrzhdmzAbwH8XEvPUJCqSx3po0e0H3TV3S70ux
+QVP/7RCEp5ovoN/fjjmcs61oA0aJGfShPoHY2vrp5XYmXYBW3ZkGNz4bj+PlD2tQdVmgcwkPau6
wd+ZpCjJRUrzIZCQptroT8J9bcfafcFwGb0NGfYySVsO5rEU08uUcN+8p90L26zLTZpXIysATwW2
rxpEQF17215LcE4gKx7jc46DtcDJirX/ESYasj5NO8CwKud6hu0V3R0WxDJ4JmfNnKmTOZZxezAT
ssSKSnJsFlHSqXCmezy1geLdczLDZZuzjop58u6+jROejHSy5HZGhSFvHvBbTTdvRZPtdUmYawFA
ItRDD/JC0i/khnwXj9TCZzUaH3043m5jpp6rFNkSQmzv5mm0LiNpTSotVLQqe5Y1MokTUAlz7B43
oS+9qPsiE3ti0+aDZvHxJCMzqsS7Vkr7nBIO5YhuFY1npTFv+q6+M21/QYAZfZZ/T0XvpyLt96ei
p+y/ltVT9hLWL39ReE4//P2B5ASEQMMilPT9+ZlatX8cjrQvzCzQg/8Jyv/+RFpo06lVeVD++Knv
hSfULypFA+4mxyfmHf+M/vPT0cimImY5MKZfylHtx6ORkVBXRF41HsfmrrQ9uiXNPx0w8FtlW4b7
Rn4Ul2Ct+jhgGAsPVkuhsVcP0gwOspGQ+GZ8ZTr3YSX8K73KD++EQcan63waAkG6LcqKpJmjUXRI
1Xa99fX3F3gfI/0wmfl0hU8luq+UCM+AdZLFY806/cZy3nJJuI6EMadbaKrs1t1DgWg/PDW5N1PC
1yhY+v5JzTlkXfl9MWvg38PtsT0M5/q5ja565psD6vffv9Kpz/HjDOnTK2Wo8PEz10gsb/pq+iw0
+sm0qou7FghLrujHHm402GGkCm8WHt+S/4td61sX6pdDpXf46+ePSgFQBUJBxpKlTt2OD1MliI4K
h2lLHNHkMA9QEC/uYl3VGvCgeokyGnliu4kAzVREphhtf6kkWCZ7kuXcTpZGFy5lMFOLVu4mcPa2
d5q2WiXpvZpqWyghGIdUKVJuBi0lOSZ2Ihx3NgDHCAq+WW2KVszUrlwqjSDcR5Bie+zMcJH6nGhK
CbDNuKoG55SqJ2+Mll57P40W/Pq69u09WUwIILFjZbwADIgaQSIW3GiBSSw2rvOCzEwTRvpYYt7G
+dUq7c6S00VfrEV5X0cpR0qNJkh2QY7EOYr20ZCuOvhQN3RgZoU2auAerxsdkH5kzKIOHY4R+voc
AiXoTzvVF3mcPDQSsSUpvWnH8Oo5BJVv2OVffkM/hxiz7nx48PVPjwudBJSOQz0e5ZW29jbjrrnT
VvamOtLU2dHGcPHizR1XLDV3W21B7cyHB2kDinIlr0xCX6JvG8kvX9D08Hy+Yz4uE59OBjpCRyud
btk83uRMTbBV17NyWcp/sxxNt/7vrvNpwYMPQYZTwHVQNSXXw9fSd0NA6dhZvL95CCb14E+X+vgQ
UPt+fAjQsiSV5oTqMdDc6BQTOTa4MBD7egGR1j9iGPn9Yz+tpJ/fGhNEBrmTNNBwPn2lqZkOlpVo
6hERL67P5046/f4C0y/43QU+fXZYMK2s81X1WHfzloqsl9x6iP/mXfzdRT6tss5AroGwuYjTXYwl
dLZr1Xz8/fuYXufv3sen5VGwV1dVaqhHlWd7SPqZbF460cEJhm/v5X+6TNmHL1Ve52/N/55+80uO
xTH0g+b//vjH+tuf/dd8/tQ8/fAHLJhhI84tau/L1xqEyvcz+vRf/nf/8j808mtRvP6f//X0NQ0z
+AlNFb406l+UHHwtv65Tdnn9X/8v81+T1/qvf/T74WhCmDLGhgWuckrFo/fn4YiuvEOvHlseGlxO
ULyI74cj/QvyVwQyNod+W35H9Hw/HKnvdFPQPgbHJ/ry/+hw9OOtaEAtxd+ABFZj9o0YR/70QEW2
BfM3485o08VoWEDoVnp59+GDOX27636XNvntKoSUGdRmukoF/umGLz3Y6MZoRIcmj8JkntsyO4+D
rt/1NMLNI60msQTANHGXNgNLWHRuMnoXHYbCS7kIzkkIHM0Iwl0vywDMFcmAwEY8QaKEsiv7waZX
003bBfuww1zXKjt57M+kk+zLMb8YKu0ImHUrRzFasQ6ReySXztISCXrXFqNuqDpfiQLskRPSTIgI
ZAYu3L6FQFOh5NDHmJG0BinS4+cHC6qYAOVjbntpJN6gJ96okWocG45KR6EdcwzP5NC6larfeggf
VlZiaI8q086ZxLq2CuU4MBdBWxZEQgvseXmuoPZiXinWvgO5YqNo2JFnnWYfTFELeMPAN1D320Ew
a7RCs29HtTTR+arJqpJG01gp9MbGEouWRbyD2xppI7yZDPHyaJeqtOf3F/M6BDE2yQVzKVvZII/n
KBDYeydabWXZGPgSPd62tMftE9ertUdD+FZ9oYq8y+nDa5e5VRnDKWAMD85NOBdOZVpbJKX+g2wq
+l2Hhw7DvRiv9CZr9Y3NUIRwP9Xox7UddKDV5b52bshiB5EE+nUBuYek+GIIMPWB9EHkIDadanQH
p22tRcNnvgNEUT/VePMGgVVZDAzTnZKwdrSdC8ZcVLXAHi/RB28jmYRtJ1ecS0YGmCcjeDi2IDo5
L1JGObE+73IFLG94Z6fkkfDVdaRSheOiovUzr1UUl0MyhFsTBuTCgtu9appEcTPH0w910GHtF2W9
MrVu3esZStZBrc8+pO2FLaX7MEv2kDGyZVqFZz03NnbQRnPPTNZ5CDzR1+RT7fRXjWJ1N+gb7TdE
1QD647nZD+ZbHrZzI+UE5JXKtSy1S99soC/m8cKR0mVs17NoAB9em8XXum5es7B6FZG4pXgmR7Pb
OkO6ZAFBPD2u9EHeC7ubaw4tWEPdMdLFp9M9y0YLR19aJr2y0CoQMq14wfMx8/MXT26VeW8m2mqw
YMTFRvdgmOFzMpr6wqzjett0vY//ctypKemVvro3i3aOuOKh4OurGw2wtm0tvM5cwv5bt/L4MHj1
wk+Bc5ZyOdOA8oDhy+QNlqZormD2Q49z4j1eGhD0yB4ffYD5HnCNTg73gW6CE/DUc5NkNXPy5oLo
Jm5mSDlJOcjkdVncZam4cHiI5NyCwVTNB3A+dqHt9CG/k+iDxrAtWtU/Z2WxY6ZHVouzS9vuHDjg
+tVioXrwrHwfg6GIFfQm+BjbimG9X8mHWIof81h5xFm5Dev4Ik/sbdQq57FX5gkkEjJD9oYeuWVS
iovRstaFhM7FhqtTxta6dYy5U4GGDxio0/Te2vkoNuWYZVvIUF9T4VkkwzDEFz6wRGPQ4lXpFCuv
RqY7Cqlc/n7lpSH5wzngfeWF1vbu16CY5t/8/YcqJRAKyE8zATNQxuqiSxyBgBYdBMmzCTlQWj+3
OjA5eZBu0mJ8pcCsz2UZy9f2aJP2NgyXbRXt5MGbx451Jw/NqgzMNyJnfCyaqMXhkoKRFfIyH7mn
E48KzCPwrI9sOvwlk1fLbtawLJ7he7VuGNW3qhWUC1SrYCSJd0Fl4qKVqIeNUsTYtr0MxVJF4E5H
IGm+qlPrq0jSK8wL2xbOy1gn27LFNFTkO7tWnVXTC9AFIlyrQ2BQnBIg58FACPRo5fPpzGu5vtRF
q7hFYG7lwOG5BmONkQFncVQNN1HY6cRMoeJRhXrUiZZ3S9MU7hDG+64YD0EdbeLeWBmorOchwhbv
3Upsw9NJbbLEwa8ZfrFLfJA6Vob5O+kvkjZds6/hZyhAVOUCxVhUHeMouUSiSg4AxtS5mUmhqxWI
JKrqFGr/n73zaG7cWrfof7lzuHCQMXgTglEkReU0QSk1cs749W+dtjvJ7Xb51hu8gSe3fN1WUxIP
cb6w99pUm9ks47fq+NaYjEryEp/BLe8jHOjkHJSeQwpFklQSKbQRJXE3hniMs2mZ6VA4XWM78BzS
m+KtcKXABclS4CpvvrDmRalVMOlY8CZpJnZKKZ9l7SGyrQdNTXEdT1CnyC+YMk14MY5c9u/BSZ9N
QbwQLnDc6c4WKlF3V+j6sGdeVx/TYsh+H3f/ZXP0Y2X/+aAiXmBAqwGpcgzpOPr+oMaYANm3Z9B9
umipx2c1spxffxh+HMzyV+LBFsgM0fjJUbBE03//Cro15wR2BcF5asVEFp+iLtpG5VU9xJwEJDNW
tXbj1a9f8/cxwHeF+J9e9cNsqCuTtjR0RTmqU35tahqJMfwDt+JDYFB7kDcYe61j3lu+vus7SIb9
iL8vzQeJRooKL6/nh0KxD6yYGL5k4Tp1B/HihIa9zNT41iIeaRkk095OjUfLT8YzkbK/4DTlxaqb
7XzllEq1FCVqdjufpl032vpLkROpS5KMvoqi6JV+ilRkFZAnT+Bp2ToW0qfOve6MdCZtI7ntgp54
ugBL1NS+xba75VK6aep6bTVDs9DMeKurobKK2YAt0iHPN+yYVK8CMbWsBzLD7Gi8ktqyHLySV+mB
tQB4sufQf6qaQZMqvV1tEBo8GDfjjLVCTc7MFtJJLR2Jka+jDWhJnrI63OtzvEffsMwnX1vqjPa4
YBKesup9T/4W9tPs6KBIy+th1fszJ1hdJW2QoRIol0WM3qmcY2dZp/6xhPyGvxHTvDV7TjBeh+SM
LfC83nQtmytdb1VvttuNUkaZVM49I7WELZFdkkcJdnFsF404603gML2pb23mQctSiNt8CrejD5us
r7vz0uKOhKa4q2vjnU1q5/mArSvT2ASlcbCHPxJb//JD9NkU96vTRkfx/Rkf8PL1GubYY3zIL4Jz
ZV3tq7thM+9IKz84XD3eqzYsSAo55k/D/tdnXep4v+85/zjq7BZYy2gIduUH8Lu7BlC/kyeYRY/l
0lzkB80r12A9xF65t9fE2N6eFO9w36/o3Ptn/ic9nw7q4ixa++dETGZ/8938ePH9/mnXVcpLR7do
o8wP47lJHQiaEXF4HqoXGKCBEN7X/3Ae+/kH/v41Pkw/EIWyqg3TkMv1PahJPr/89W/0pz+Drbos
rQxdKqd//IVmozWThFNxeSsXFVLU2qTm/P0J9X/dv2/ei/Pn7L35sV//f92+czz/un0/Pr+9188/
6dz5qq+dO/kEPJCJlddMUralpP3rWkP9zTRMenc6NpRLFn/0pXO3f7PppfHwc9X8IQf50rlbv5HV
TSYJX6AjYP9n8WSGJY/Xtw87unUHnR/GVSQf2EKI+f3xeEDPmRqtFcHJdzPaWTBzbYMgPYU8x4T3
nm34okQxsZxh09kSUpdnAVd3t1Wh1xkSYze4Jk/GofEKO92PBey+2Y2xZ/bqUkDBk89rODRYohwI
eUD5ESJHrrsyovJVdCUWfac7bzvm2aJ/tODsCXh7pgTvMft5stx0qdA83HGVq9uc6i3IBt+zfbNf
8m0X6w6WXxEpxGcK7REyar6sJPAP8BiIF8Uy1uhMPpEY/07KCagtFForh4RTjy7rukjCS0CKzzNM
QUXyDlyJGSxMOroEGokpEYQdqC98fiQoNHbx4sApDOEVonNAYz3wI3YSZtiU4kKBbhinwbGAdhhL
7GFcm0ADIu0C+M2FmuvjglzX1hskLjGluthYRtljwh9e4fYhwBNdtEhCJ13PocnGVI1vehiMbEvB
5qktmhg9tQ+YS68biI1ZJi6bfKjXcQoFVYHqGEJ3DNtxXxYAUO0hxIcMATIQZUyHZpcLNpvFouhM
OG5Rw8gasvwtyOB8Cx+ow5dox7gDgEwSUxOvwYe/Eew8nQV9SEZsrhJYJfGU+uAoKxJCD1YFn8Ug
+3PqfP9ykljLENvpegq4Td00wzom8Ze5BGEWlrIppC0xsiliq6eJtJZNE+ikJpQhzWlgA2aDrImT
nwgbuJfANn3WGdW8siWIk7r4tXVDyJ8S0on2MFulEtw5QvBMIXlaQV0eEeLAeQvwvCGaXMcS/KlC
AI180a56CQXVtOqKxi9c2lo/LmOJDnU6NuyqxInWKDe8oJtfu1rVF2XTQfqR+NFYgkhh/tjbKAZO
ysD1SAIaoODResfGiIfRFef50OYeNKIY13U8LoM+ApYZMJcSinVNuuZTL6GoET0UKiU73bbNiOMz
GK4VCVH16fpsiVUdMt+SIX5sNyR0tYK+ivYJf4CRGltwEI9urL3Q7WxsBWSrNjZHJWP7ESgOlk64
rnNYvZDCMPHm2xVJC41rXaKZao0zMTNTo0A36VjHesoW+gDdNrwfAz7zGuIhhicdWmzQOpPe6hf2
kD2iVWngCmJ98BtA/cgY70b6bToj0rLGSEFdKg0jRTuB6ytgL3TDZkiRFUTYA/warBEZr9Ye93u1
qBwSAEDh3cyFf4KQfOhGt1niI/gUtdW1poe7XHP2aMEu5zbezySAajTOoRIe1ZiAvWKKg4WRMg7K
auNKLax+Kfh719Uo9o7O1IdmcIf/WFsxe3vE7L1tBmOvKuonC7Vak+AeL1CkFyTMnrGIfNZkkVcJ
dEbV2A4sp3rrLJrbtYPoHFx3bLftfR5UfbEew5KIc5CnxbU+dM0drezAZEIDzmepTV9v9cgxnzBS
mGdtU6bBBVESgbNrK8V48pHz+MfYJOMxc5N22bn+vWAysTJHjaPhB+nK57xsjQJ04BCTYDZw7lYm
zpsFp/CxM7rtnGQarglrG4KNWtgyKGSIAgi8hX/pzPNpzLvWw+s2E5mcXaRWQJkteMJlZcTjKUk1
QtviT0FtX9YWCY7KQJYGEVFbiACpZ5f2FTMe5gn9XWXCMuRTvHF8YpfcLmTsMl+4RrTvkgmVf6k+
i5HneJEPiKazKzGI1GtJXt9WqRJx1vzTlKiaN7WQDxS8cos8GESyyyXPstHzZ7voQ1a/sC5toJdR
Er9oOIWKeHwZgWLm1VQuZjCZAKj4HEpypg1CUx0POXPDDEcMeqx83tBtbZTeOQWSvtmD4bTAceIx
pKGGz2kD6hQUbPjqUb6mkuJpZwMJI3A9Q0n4rCXrM5fUT6jJ2SImSriVRNAJNKjeqwJTUzEsNKu6
imITylpt4ySpLgpJFkWtzbQZX20VaudGCH3UDGDu1jVufcCkhLNfFFl1roCI9ArVuo+d/jUeYJkO
Y7ofJN2UnmzvQw0wK2cBQvE0SQ6qBhC1lGTULi7XkauCZnXgPwP+ArAakGRbiEUHGixHZOwRjkJC
Qori0r623UQnSM94t3pYUoNks+pOu48lrZU8S4v/cFyz4z0zJNG1izDkREBegVjwfNYFOWMwsZXo
GoDPc9XZO63i34GH6aHFJjpvtQr3ppYgWRuibCaC99h1tyaL3kLhT33Ys20PhRIWbaaFm89l1L/1
pNRK/KKeLPL2ncHrnytK+XVfKkpN/Y3IWMyOroshVYp+v1WU4je2OTrKXcvCg/69itjC7sibK1XC
jDC+SYhNsuwcTJAuqlSqU17oy07sj6UM67S/bB0Jz/1YTnJ2dAIeHF0HlIKC7sdyMitxIkywV88z
fe7X5MkZy0K1H21kVYXd3XPcb2FOE4+04cCtNERYXRvc+lKVNUl9VolQq0KwZR3IyXnVh+Q2k2ou
IXVdEwIvqyXLaIJmSpAN0ez4OUo4ziYcei+U+jBNFU+KVIwJqR2DJzisYqknmxGWDRG0KT+oz3KJ
HI0lexQGKey5x1lpqUWAkw5R9TxBKyVP4bmGXjpKjKnVjkfOOmBTiTgtYZ12HTcIpNf+flKdJ7Ls
o31O8OtKDNgEVWip2PqfVIlPRVm68yVQ1XKI4IGw2kNadQGTTJBX3XoDqW9VSSArwL1b4hYenUjZ
DhBbG4lutbVy6TZQn8G6CpKvKOzPR3CvRjd7leS/+lH4VgCEDVrIsJU1nLsRqPQi0nYGljJEcQSI
sz65llMHe122ySP+vGrBt7hpJHq2hUGbShht+xlLKwG1vgGrWiJre8vNPR+KbewrB0tibQsJuPWj
bjUU8VUJMpFLZV4bEoYLGwpSZfpWS0xuqzXlIqzVTS0RuiYs3clxYXxRM6sSsxvm+nsrwbs4G3nv
KYbMgNBdu35RJaS3Ua1DCMakgN47Wr4r67QDo9MTRILzrDSWVmwiUIGUMQRSA04ejYl4p5Vw4FRi
gnMJDMa9CqlxwKWZJsxCUwkWJqA1I9wTkM0kscNtxh3X2s9mqewoV9t112ieryqIYrTpcrAt7JqC
YXClE1wbVx5BR1e5yOJlyDtH8tUtnt5FBa9khazLOVSK2KVOcSxj4CTZeBc2zQsDomEphkn6dEE3
F3EXo1Ln9kjidtdPLVAPtnddVMv7j7jSKMwufSpSgCnjNhNtsa4DasN5sgZAFTtdi6AY2c4n3o99
UZYnA21xYqkbU6TEHoSETfXst6ZUv47n/InV5h7P+rGYuYbnNj+jljuoUGu0jMVNqpY7p3deYkw2
bhjQj+AStJjKDU10XXbKbVRYOzWXLlDjvbCsXUKcraLmT3mT3loJSNR0Hg6GXu8R0h+7PiHlJxkv
06zfjD5k687izh628IZ3ojbW0Lu2VRCeBYZKTNyk70vG3EOjXqihAd1trpd+0D4MNqCYxpjXUd2e
CIpDJjTbZ7WrXZlRuU+ifmskBEwxz0cX1TNtJ+skIE0iL/vXJiIg2Am066Zo7gla2PtjfOxCYxkG
01Wupmx++NAnabi2hug+SOwNwRrbzIqcHdXpxuoHGf3aHvXcjTzccZdGHOwMS7vMlN4nwgVjQVfv
yCx+UEfGbo6apktX667A0x26muUiqxwyjObsoWuZ5nVEmQGtJRqTzA4nP+qp9TQ77mZQCJpywatH
/WNed9vGVD/NDZDtKEKl3vgPEaRAyplZybMrAEiTh58n1dZOQVzINOr6GS0QS0cr3btBh54+2aHA
JeJNuHvoUiejT/d+MA2LuAiOg0+7FLn5Sw9CfKHU6Tkwn01VuOc1CxgPdM46q1SxQhF4FyHRGtnC
6olyLvz4epZvoe6YLyVhxEUTUMANexEo96Pan/C5nKuIdUJLolym4VlTmIFGZQC/uiqXVct7UQsy
EboA160DhFPXj5ObEW8S1dukiDcJaXvLxhJ32GXOqqZfhCEtVKNc9pFFRItxA1KI2fL8Eqf29Wy2
wSE3q3KnBv5VmeVHJVf9hU/OizGbT6K0NjjdcKIO5jZu2TsO9ahtE1BUmha8JxPzBDsv1P1kTweB
fHstRGmu1QhId0XoIIei9DQgpZjh1W2TIXUbousqnw9TF9z4dbPNlZmECAnuxUXMzwyXPb1vq7Df
jcYF9udlrOJkjS3ywbJxYxrFaWiDm0idm6Vj9VuFMXg7IxxrrMs5Fds6cPnVIK+q6hzYx3TZd9o1
AmmcMNi8lw5sPRzFhHfp1rFJue9XaUPg3qobqujOzKKWh79l77UcnWKGiXYdVnBXq9leRE7Pp3M+
VJFN7GPNjzRN5ZagkY0d5O4Fq2tnkbU452cFHzLyPzbgfT8uenhwJDuuDCuP19wwYNnhJyxLLfVG
QrRJEdwSuojdMiUYpujd/iwGCYl9ffqU183O5FO8SMj583SSGEi7GZ2Vmab3uEQ0vDtWvbQZ7a5F
2NjKIost5t9ZcBhEW55ymrGHWNik5Zhzraw7ZzAvm4F08tSZS6I/UoPxUU9pD0xkxpkhlMOg12es
tS5I8lkbY7wiF+wuq/yroAKLVWnBwiYBUEtJhya98IG0kNizg2FVC8g5fYLd3PAJoWjblz7u8H87
j4avH/th4pKJlux5161vLtip3ZQst5aOHT7zZL1DX771h/CkmuO7H+t7Wi9M1WG04iBBZFJQ48/m
3o6yI2oV3bPsjJlQQkx2dsZehp35BHbHqv1TrJJukRRXcIMjupR5B6/pYI7RVtRs1JNyl7mM2As1
ISyXdEtgPpfukF23wJ/6YmJjl+c3OWsSL1OSPRDdnaoqR8wOHqXQRhurXeu7GyXBampXe+Y692C3
92kOSEznptUdJAHlqww4iZPgcvSpFCazxNEUrkjc8cyqfc9C96DkOCA5dCOSj85NXxlMoiHAcVmo
0VUtcxS0yHONeFroGU3qqF43iULoaU5KEfoWJgrBip3c2ifUxPWBb3ZuQ0i32Gad9tA7BgQmMa5J
rfF0G4Wwz3lEBlHxdE8eAGp79HnoAGtt5SYsAbogZfMY37muv9Gd+ULtEcskrbiZBrHW4/K+QAa+
1DP2jUofvfl10WPLGrpVG+rng6me+4FOqn1rraK4XBm+DbA72rmR6qI+RiiUzFi9zPO2FPzEQ9oe
LI3DEhSDydDOJhdwKsXKnyznVIBGyA2Iy6ljLcNWvUwNQlMJAqUP19dNQ9qTT0LFosaguw0n69Ec
4una5UkDg3Q8jKPTLRXA2iPBy6ViPWoaRs4yqh5UdkGo7Lp10vSplzf81I4Pkl8+eir0Gz0BZtug
Bp1tlsmxBEhA/sl8UrR6jy26WmpWAxO7zj71YmwoEat8afD/JmwZoq+ug2gsN+mc7QZbYyLTdog7
5K1tGg+j4IMWqyygUPxiR56Mc5FE58mQeEZshDAC5+ZQ+jXwtlG/15hznA0kQrpN+gix09jKjzvK
FnrknNs8qXv90QnJFCyNSzGM0cHVyRES5S4o1RtCkBZzYZJtNHSbQC2WapYcqkAlbQnARGBmnzqn
SHmWa6tAd26StjiLGAwlvUWdSX46A+uHSVRX7lgRClba57EIzjM7JrDEmPb5GN9VqftojHiUeQ7v
TT3OGYRYxVprjUdAXDsXqQRW4Sjf5D1/sVKJdSGidlkSjruN05R1Yl5yOwZGpurXo4g12gjCFCA9
p5OhxV6iW8pKExGy6L9Rw9KKfTePZ+XkuhacYIRHJNphlP7QQGmRqmLKzqMTQUmLPD82ROq4xvV3
beUffdv3Yjo51P829P/yIgiq2AdJBM6HLXbiI2cDIRad1Gmn5EcVeopi3LTDza9f5sd1/B8vYyNc
xNNhyOXCj82gD9CHLkClcNc+DcWtop/947+f/EGhagY6fhxbH35XDcHgRWFl6SkfOGhbx2dX87X7
/smv6SffP0szjd8Qvyh2gB/Wf4GNdEw3q+xEYmxmXpju34jL/7TrlO/1d7+fD98/KiURKjxKT8yf
FLJPxLq20bcvxvc0Xv76R/nJS6HSZFPsGIQlEpn441uROgFqxrlITmq8ZQjXkh7LysTwuIaZIf/6
teS3/eF0/fC2yCP+3QpXFVHWg7lJTyV+q4aKzuOjxTN16te/fqGf/VDfv/8ffqjcjt2ic35/IZ0p
JJv3cM09Iq/i8m/O2k8+l6DfBKM3bkfWdR/20rqJM4GLNz81ZDGmz/24Mv3XX/84Pztu373Ex+M2
Nya1kqnmp9x5jv1HQ/kvjrMrDGyPrpA2xQ+feiIRzdaA03wighqdCzu+/+LhhQBZxcKOIR2v9Idd
c67Ae2otUZxm+3mwzzuG92r7N8+un73pHGLbNA25VZUzru9PF3sgDH0kr51qCr/JY/khzEuo4EW5
nPW/Ock/eS1o6uxmBS4Qwfzpx9cCQ82QjSCuUyh76hVKGmBFdrUoqLGuPr/5/448pbzk60NX6uz/
0M9LJcD//Of4DJT3z/NO+UVf553ab8wReccRYBBMI//o6wZdZ7kOCsYyQQ5KF++3DTrBtZoqrXqY
aKU0nWPyZYNu/+YIA+a+qiPiIgRH/JORJ6PXHx53kvxGlJTLcAQ3sfx4fXjcOcjrCatT55OehXeV
zoo35TlBXYIBSszZ2qmsjWBubk6MyUb3DsJmsFA7KvnMtW5ixzjqRbvLsGRBC8XEZNsEj64iBKW3
aeHCrdHUy0DJ613L7oekxDRWXrS0YDOUCwquve0zbALPSzdspXa8bVrWfFkXd5dqjv+/6KzrIZHy
JLI/XROozZjryzIEuVaNxc00KXcQ6G51tsALVWMNpdasVJWJ+HLnTIBXJkzyteajZSb5sAjIni9j
7YJNyJ3WNznVL8sEv5VCxxo+tJ9/mmrALqEm1r5hB0utRiBmauMJ+NtzlbIfNXu9W4Juf6uGbF62
Kqpdl+IxUFuGuUUo1gmYISgrijHthrFQvHAI9qKzTzqNUCfC/dzJJJPQJnEuRBas9fu6L+9D1X1U
DBvaWKpfJlC1IJ3dJREQlTqeb1u6kL4TJXONgfVY8YlBMeqq6MrtSpbwJN2XQbYT2XSXNN1eKfpP
as0Wnlmg7Wm63sFY6/uFolAt62myrRoFPnFoeQSUaUtfQ5Rlolw6aVM5eTOCfK9vBxi4BTgIGUNQ
UGwuMnVSVk6SzF4+Ei5O7fcaTkSP6GLatLI7It3Xyx2NJY2+7br65KcEvejI6aAG1RXloGV12abF
GZoszDTb6W3tNY15bMeEnW6haV6Y92tD9V8ScKx0GiTIduy68/GZ6pd8E27+InXRH8NLHsLeAlKu
PKs1ZPS6p6kXCXraxn2fksQ58qDvV45KjixmTuuQDjoI5Ly+DhvU7FrL/FGQI0Sf7cbLmSlW2NP+
NFZqsHmzlw4ChQ3y1Hadcv7PO7wXtmLs4Fzc4UnZqp12N/St8IKwUZdtownkW1p8KHPYxwE4n1Vo
gvD0e0JwqecNDzq4v5m4n8/LUdcuIXazkk/6jWtgJxyCsyxpfFok7RklF01WPkUnm2mV54JEmhy4
bW3DHHaKUs8c8pepoRfoo4ciIGzChVEchLyfcTqlJ7yAdDjZ5ruH2k8qyQ/Vw2fTLQZIym1WMOAe
P1QqpT6SLaG44pRmt4nxZprLv9W+/uQlXIpJ1i48I0HSf7h7pzIYmxia4ilpXrrkYipv8j/q1X/v
KOm7/fUdVRYN1db7Z//Y7u1//vM71FR+3ZdrCqCErtqarTtIkA0wZd9dU+pvIGMZlMrri+r72y2F
fV1FQfgVj8a5+HZLSTypiqGKFR+7uX/k0NI/WJ0/67y48iCmGQBR5Qn5sZSJayXRbLiMp0ydDZ/M
MYI9RqGGDvGCeR5cwMgxz+ausp6s0BjQISo5TBziRYfHerabOzc0imvXjcyZ+NduICEwt9v7Ru8E
kgl0VysrhPRoRMrdqPHwGYOZ6Y6mJQxVrQsHqFUXiFPXWzdBOj0Pwfyshb7BJ+3KapyMfFd1o6VZ
xAPU5pGeWKuxJ7BAqc8Q1DKTbRhA4kFpvECdnpOqRgE81AMJTIHMUYT8Qh5TCsbHkQmIo0zBdXBL
uzsjqOtFP0Bvz6wrozevMkbLy0THEOCP57NDTBccz+cqr65hJD6FTsxo0+euyPO4I0d3Jj0+cjMP
+xJ7IMO8ii370DsN/uqEvUueHuCy77swQSHjg9gxGhtoXB3Ui2woHa+ck6u+Kol5m8ujXvfFYs7R
J9SOjNgi1YBQ4x6mUcrIrdXxMI15kB7yAhedDR3SIhK6EWq57NT6fW7qaQXRNCVsqtumTbxR8cML
hCWlzeRjUlzPMGCFoRtcs7UPvJA1Ed+UIESqd8xtlPNPRj92kEaLuzxM3lAQXDoG2QFl+iqS8MYq
mL+2bWwcCEDfRaVyGZUyA8i0Q8/PMOoH8MkCuaSFB3UVWtYNoyXEZab9ZhX5fsbdVU4OOxaV3O48
J8kGgVRMIvm4zyXrVh36hVHkmzRSMM3IFSbbx0VX5Xex1WBmYCezRmSyskrGRqY1eMpAFRCqztqo
7P68k/o1e2qwr9fGrk2s7I5R9risk+5y7rnLTD08z0HQM5EmnTueutt6il/8noWAFULbYUqxJqno
3tKcB9sPPI2CJM0C2m35baj9lTKBa/PnU5oQVB9pa9e/4LAW50bfHVI3uWAJ9xRZSKZy2O7remRa
ye6l3anltG8tjp0w40OhFVx+rPNCxblXbMSDhGdEnohH31Nqyf5Pzs0yO5EnvydS5KJv6GDavsZr
YRtrRa+eiOEhz127zdo0WFiFfVb21mmSe93cojRxcdr0FcWj39w4sf1CgPcRJOG75mc3TWvvhM3u
vE/ETiWk2mtTt2F0z/vgx9lbKgY+YnPAlmxMO8Zd1okfnjXwED5UZL4thJqdNF9coC5fQzd6URTf
cwqosHYIqz/TswtJ+EaNQtmZtfl9KOG2XJvagr1gulegshM1yPbVR6Lg2Vn2PABRWLVTeilYbKXk
k3s6TgEsC8bWdeZDmrfHTiQI0IzHwcqeqSYJCOZFB6ChTOJTn6hYFtxNqm4M3djqJeN0AlKOHbU9
ibxsFKaEIacm4YmCibMZnrls3/aRqPNLXNc+yW8MQ3lA5ORVa/oMbrDC2BY7912WQzMoMoHaCVPR
ukrVdoNKj91xXrDoHw3tYpwMQtoicR7ywfJ4z01g5lQmZo9DHXnZeD9XxEISspTuY0AFm5ZfwWpI
lXQrGGkvSvyUOsgEP1BB+LbhtlV0hbQ/7FuLqVTFWokhS/zbSqo0a5+ZKH99TV9H7/XP1NhSIPPl
kkY7oyJLEUirpZNYDg++9pIAxk2H+/uzv5jB3Ldb2kWNbdHH0S/KG1Syor7c0lz6dJ44jkzKyc/N
6Qe5zK/kM5r81r4bnXFLc9PLVpdrGtU47euPt/Ssh1moFZF6ws8NfySbZVT1UxG8qS6AMlZ9tZUf
WPCxKx5c7TCU/Ptas0+WyE9dVaIyCa7Qcj4h7vDoNsZNk4QPeW1uKin2y51jyeFHyfwIyRywGjrS
2U7I+LLZczB+AiLX3ZZjfgN2pGJZA1CzYje3ZML/iN1xCRNrb07xKhPV84z0QsTzg2YolZeN7Vlo
5it3jG0vIcmz6SAYx/n8QGDqdghJkTCS9mK0Q/xm+e3sFAc3rh7YrWeLxNQ+KUN+DxHtLhG0tUZH
RoirrGd7viADxOaOKDely55uoHdxopbUUZ8IHtsfdu1nR/Lk8JE12OQq67qBmDdlzl01gEcu2ULv
uBME2eJkeaqwNuNB2XLVkL6DYXTbKdOmMMadxh0wlNbVUHZXaAPr29ScntMSpYhVOWeEOd6rmbl3
VCR7pToe2dCZiyGwlZUZ59sW6Ko3dt3eMJod6MOCe9c8m8Rbk+dPgd/dTg4BJ5MBLW52hqdEbUCg
V/qRdcW7boPhcU1x+zkYdFCN3lMM1M8NrqVp6PGnjtMWR93GIeeiBMGMRoXJbZAay2EKYovVdcz1
cY6XSIQrn4Q9GkRc5/u2gLg9G6Xa7goH+VVrE4Qt0NXHENnV2ia4Dq31qmn01n1GLDns4hbZ/dJK
VLa6oz5M6I60ol5OKUVCEFZ4ww33mHVVhWdWf81DPMDEneKgMtgfaBqNsD6oy2FuXsHmGYSSVJ/k
aGQBb2855Tw0bYGAkTTSK3vmyoSnf66EaGFbVE60NRZJIuFDOhqPuTMOjEp6RChk87iYp5ZGZb7F
ZfNJm8Z3ALvTorfTu8CiWWMWSZTqSKZfo+1rWk6i91p9ZZj9BZVosNTdZGuE9aOTmO1aR9TN4NZ5
nFoZPWVg4rPs4a1xMDSxTuWayPA6EJ3qeGrsYnQIlPPgMe1BftOoj/GbQXKsmXFecjbiyby3MKrF
RXnZ63G4CpPxtsTXwK0dbNIQxa7B9RigBvXLLCWz3l84YrgP5uqSK8wjcK85DM0jVF+iVyelINzH
nqVxEcCGaidLRXoPLIDxihJiEKhH6pSBdzwOq6tO8uWTkGkIwPkZ8PwIgB4PZ+2lBqFH62pK6td/
75XP94ocDv71vXIV9e8svd/e/9z/yS/8crUI0u54bGsMHA0uC5q8LzeLhHfYVJWGpGfrrmSHffH5
GL+p5OLRMgreGnm1fLtZyNXDdwYDkNUTKs9/lk/xmWnzbSfDagy2uiYtbK5lMa+yPk6ytZzNcqdr
x7qouAsOSqpMMp7LUJtMXbLCT4BzaXqCnMcX8nbp5rWYJmGzJabmcVI1PXWSCTVko7IzzVw/dokC
7E9r8n2Gd+h60tGGd6NRHgigK17boB3OtGxIrg0xUOoSTpx77Wi/+zx3toVBvDUebenrJHnzKYSP
5bK1x1JQD0RAu+km0cSwnNPcfKG4F58UPZqvtMYCQuSSnom8mVw61eFaLC2Su7RYW5hqjLovtJOL
LOv8Gy12w6uuVNLwWo3NJGg2qS2qeTeXIRHMNVEi6MLhfAcaL0j93xGyIAwB7WAanGJ6ZqrcX9a1
cAaVgb9mLMGK9+q5ZZVcgGZUxbdKPJsIYPrEtr0R2XiNVkHHXmH2U/WUdJ2+M3oCcGYWDEQ90LeU
05nTloyFczNcqn3tmvu+1Otn7lZLW2QIDBaQ7hpQCVWPf3yKcl1n6oV9fEJm5S6L2biaRdPbW63H
Wl3Y8Wsbp+FZifF3PpoIPncOZPP+Cn+qWE9kdpMeGHIwh2PmplOu/D7W+ncgpP3yiXB8z9+K1+hn
uGf5hV+eCBANHdYFWPUYGuJI54++PBI0Pvjw8AUXOwMgEDxfHwmf8y81lVUCg8rfP/dfi034+3IL
/Udi5j8oNE3rw2aLgaSpU2lS1LI7YbH54Xlgp23gZFqgnISSel1Lf64a8zvSpoB6LLUWnQ6BUMTr
egq4uaj/6iu3zpRLze4VoG52kdtXAfYhZ+GKiWjaRtT3uIXs6dVU6NCt0M8oCchr5UwWEHqdeRM0
A//EYmZDhDGRKPXgbKCUjqu+VNx1LbQHNBfqa1ClGSkiY7kuQjsFEoLguw9kk1rw3+o2uYldotVP
JeAU6tXUwfjUm2dDbp/FcY1YTK93xBwj4eiUTad1L8Rr0ntVNbZylxDAVI61lek4BYWLU8Jc0YoS
/JGr8yKr42DlElq6qacpXBDpQkbl/7J3JtttG23XvSJkoW+mBFtRlKje0gRLtmX0fQEo4Oq/XcpK
Ijt+nT//OJNMFBkiCaKe5px9ckzahFqtLAJyNohLl5UZdUiloF6YQvbnrK/ozGdRPDNmme8M4ym1
e9CNWn5FsHiyZnd0A0qaAHXTOBEZz4KCJnzC/dinEwU7yyBbFGLlj8608XyJTNCb0ovK0xxGGqk8
4F/SN73TWgohxNDLl3rNe4bMl49Fuyaqcl45cQBzqLZCIlouWtD5+DtqebMwINhVvZ3fyFG/rhtC
cYKcUVpES0vBtCzplmFDFaG/qgjdyDIiijryN/BJeiqPUNr+GssacibydJAWQnSN7hwuuxvfw3q5
satD1Y1Qofs6vYhczT+lNlkIKxjbJ+CAPbJXox2iG2NInouEwMKkcl9joGLg3bAnsad7zg0RbyJB
fE5QlqHQ4ssiQsjsZ2jxsLuxci2/JYuzxvMvrueSnS/5Il5odz7g7irnYTm6h25svQvTYa0yorRK
MjLBzLLc2Qn/CTr8VtIZyCmZJzNYpUMz8QcIc1AN1TiZ9mlEAn6BASE0aquwzhRk+Jg6fGJ6D4Pf
Cs2eHIEmQxMGGhbTJzfa9ViTL9m1DqxKm3GBVgOF7iARQC0ZduRUvKg9iNDZ6dCI9ReTLC1Q1rGx
dezIv8rRbmll8NWkBnSz8qYehodIs0594wGtMLXmatbS+WC6nfJvLnvNYZ9Usvu517Mo2vj+m9Dk
MS2ge9je5ZxAN/eyZNfKeeMiyuc1X/tzdemU5csyakfHSC/LBCdQOjjRqfIx95VuY22HJL5LZhnD
BS8OXTbu85YPyU+YOk1kdGuZF61wCL7GFJ4r4abXcqwJ8qyoazUxlqEftKHhFoeAmB6f9rzs/NUE
+ias0ah7KY+Wcsv8eEtYYaiPrF1ikwUiu5ikyQ4e2RkBRHZEoEAsBMXAJIsHao1rxoMPHLY+N2lQ
u3iTA/ci8pdvTWvcOstw8JBRWmW5wZphkVIhj46Wh9k4viautXM72po4Jk3S8c99Xt36tfk1yPkO
lwXGg2C+tTWsAmXbnOZ2IUDBDhs+Y+gkdKkgXcCwhOOCSB1v1Jdlnu8ndT8aeXbohuSMreC6VN0n
2vBI1nuvxGERc/nC0W/KSl7N7RyaAHuqCJEf6lsQzjta0D0q57BsiJTt5VZzFOjGTL+4PgFaWrPX
iE7KE28zNzVSdt3fVHq9MwQqvWyAjCqKdTrGewldvay1S4zB27lIX1tqljmXCP3Kb0wnwqgz1uy9
w0gUb13xVkfDrRQed6S+n+mv0qn65GANJaSIpF2uwf7QjsxrzMh3vXC3DMhxtclbWwb3RbaY66DA
GlIDUC/pK4IIXSBhniRr6Fs/QFUIVIAn3BbndNgn6Fp9ie23Tw4sNPek5X3SDcEwz7+jZPrkJ/1t
jMx5KL9WkPVanbDGAomoZ6Xb1G22fTQrfOcmIQEztpIbq0tO9WjdMtb8ZmDPMTt9pU/MlHV9rwXj
3u+1rZ4UdxkWHkH7zBCdgQBRKy461kgjhkMftnwVr/rA3xpWf2FF6Ohlu4nxKDBo79d1C16WVcmX
aag/8U9hFcdpNPekovFNapErT6R6Ta991bOV1Y6FqA+L5sFbQ+Q/oj5JKKFXSRO1VKQz21XX25li
fCqH6kW0MPIb74Afa9MkdhTWottXvnOgt2YJ4AQAisZPU6c/1V12C5MX56Nkrjnw3gWbuBJ7Tzjc
nR6k7PGmqotjA1Ro1EiDS729L6NrCr5DZSMrjoxTUgMEqQZSRov53ETKRDiRjOvfZF1waRnyuXGB
RXUsqc0Aw03n3vRdf131zi0x6jo9aX83sJIcG6y7HfFzlVNcFk6M+rrVEV/Hp049qJb605yLo8k0
qWmIB2Zdn1lT2E+q6KmwNlYPqsA1TPpY006utYhFdMzK9a7vbRkuprhADLhaJnp7gSZay77iEH7I
RIn7EHsPBiDxDCSX3QBi+jre5Knx1S1ZAIv2U94lB900rnneIrbuchQV/dFZUr6XBVlSi248J07f
bAMrvy870LStzHe5ZZzJRsjYm7A8rydrC71wH+VuOJkaroilDkeggejC49CYTbS5gJiS6ozRGdOT
pKWevzYakDmMSIKAIEU05xtA9EI2epthiDddolUhduxVLoawLDgkZFDtR82H2+xsSaTZxaO3JXp3
w2Kb50+PMzaWy1aW1XEW8bETkHKxCK860SD3ZROQ5iEWKu2iMokX1vF62ggYjPpQaOK0sIzru+bL
4CtmVh8AMpen0WarX+ocfx+a3P+nlbXDKNR0PdtSGJYf2Sdi6rpuSCvtGglzmuWrOr/VMJH++iI/
SAXfy1BIL0pXhy7RMn/Yi8Nt0F1EXtq19D93GMiHZ1l/iwmtQEj86yv9rOD9eCX1l3wQJdYRtsQl
4komEew2g3mP6PTlULuP2fCS1m7468v9fRvPu8e3SQ0EYNv++MJM/PB+VNTxedRexHBs4y9V8fs4
5n+aLX/2iqiWKZa5DO39D+8d7g+pB3OTnInhy6bdMM+bAl9jGe9SBDim+IfA3Z+8ItR2NC1IGBh0
/zhBUAwFc9ZFeiZ7AWME4+F41+T/8Jq+n38rOLmS9P11EfXzD59SH2nCcSMugtp6JbpLWvj1v/5g
vruCepkfrjCKhWkpa/4zzAgXJFpe30fwJ359EcY2H8b4f38ZP3w0TT7nzVj26VmCuAYpF6RnO+15
wD07rJH7a3Po/+GKP/t0EF7qpseOwgEE+/3LylMfTm1mpGevvSGJJWyKgxd9+/Wr+tk1UKQzVLX4
iKCWf3+NyLE01x+77Fz1yaZ01/ipwql4+PVFfvbWYWBGl4OR2DN/hDPXU+J5aUqYetc8V/hA6RQz
5SqI7ghBtIFJTNHNr6+o7qm/RmO/f1gfr/jDhwU8DdiiMWdnHb0UERBM8P7hYWB8/86xuIKw69nM
8ZBeuHxff3j49LWd5Ik0ynN2iYzvwOF5qkNn49wkt05IhOmWlPDtr1/V95f8+6v64ZLQd9jJNGN2
Hl3oamy5zYCHQr3/9VV+/t4hKdE5OQlH+OGWcBeyrgQIuTPBq6EJjsMX//DeqXf/x08HdhJ3G84I
3Os/3NgNMScQirTs7NH6wrum2nxJ7RghYvYPr+Vn79jHK1nf3950xHXH8jw7G85b4t840V27/MPj
7eeXwGWvPBfo+3641VIjx/S0xPm5qq4dvD0yNVfm4P7DUfezrxA3259X+eGjx3uTiDnmKmn+pdCg
SGobZb8loJUVnJbvCucfPqO/vSwTIrWnPBgcRShgf9hakk7nNaVXF2cx7truZXI37XL7L2+0Hy7B
LO3jYxucOm9o0hbnaSF9VovXM6EA/z+XULwtnYLnb26PTMpSK+i0zn3xRVsO7Aj/4QJ/u5V5DdhJ
kAE6DN4Y7n//Gnh0epOBO/hMnVcOQLOyA0Y09Dhv7y/kv6msxVfyf+9p7siaWUEuFj8LmuE3/xzL
gl0LXComThe1j/k4liVJnNvX5GZmogAT48+xrAU/QzHX6DFUWLha7/whAXB/A6yBXwJ1JyIFvnf/
Rk4OMv27Bx4SgMB0DPhujskJqJhx398l/TA7zpj72pXnlBDM68OYRmo56SIpVzyA3Jv3miIEZKAC
dMUMGBU9YAIjMCmeQAFYYFGEgUaxBnRFHTAVf6BVJAJCMD+zwXkEvPPS6O1pZkexKHYB+8luY4Mz
iBrrIQZvUCrOQSyKW1Yrbcj08YsLCgFfTw9uXb8JFCVh8vHIdln3pEvvm7Rduc2m5q40swfPAK69
5CT5DZq3bMqAXf8A8jk1GnA+2rTNSCJfkwwO+gftnKF1uynXsPxFFu7/AfjTwhB07UQ1pnq8u9o6
kvZLU4zafJNNoz9umR1MDNTqXtT3Q5vpDfIrw0bO15irup6CbWMwORv7udygzvYYkVib0UHBnnOW
DNksGGYWZBAjGxz07Kvw2EzpRHPC1nRWlrgqxgezBw0dzVOA7gA2G1LvO08a+QqNwkuGG3slA6yp
+FyR6dUjWXF9f9Hq1WcQGxlxyUVCvBTIHgOhUGmbN20ek9eReGh/Z9hGybjJPfJX0Cjpa6nbnyq7
fixTr75uFllfEiIxh5oXbCovuLbi5lAV9VVv9LsS4kMReBfSiT6xcDQaoAYzfUy2JVxePxgDWvCE
1425WTIRcjFS6gVrIP6eJz8W6cWY4sptePto/CNNET7Ka4wu90S0A/ppPBpxjOX2u8VcKLd5/m48
795N6MbknxZzvtF7/AO627f4m/Gsd41+p6Y7kXKzLwxHW+ztGgb8Frs7aacHCC+7fEQlrvzwI8Z4
4ZfXMgADI02GfFjnbeDHPbu/JHMGsCnZEwGu92S47iY896Uy3we48CVu/AZXfoc7v8Olnwpjbyjb
PmuwBq0GVv4FT79E9bfVlc1fevOlq4z/fOQkgQ/ZWwYTYOz427Q5djaWAgZA6lrJxdsBLH7BsLCJ
lJlCDMVpgTVQKujArPADqAfu0mH6XGn9puzvu8EwwqANbmK4BQ38gqpZLqDGPOpBNjHBgLEC6SCd
MxYIiBQAgb+UCoagee5WCVNWFpyERAETAMUpoMv0GkRGvdGh8S7ucjVBWUD++GRCXah7bV1DYTB9
57PV6FBmFJ8hTq4neA1tN10S1fJYKJCDbs7bVqEdUigOEawHBDfo74E/UOl+HhUOwpqiy0ABIixI
EUXB/wY5YlIIiakrDz5MiVENdBRkQirchKfAE/k7gwKX7By672SKRFeUCs2NnzO4FZWDYBbi4beF
RHYwHc/A6rdTMJKCy59g+S+CVUA52Bosa7G2jAF8mAUFofk0K2iGWbIHmWz4svA0fKNl8KEQG11n
fUphbkyMaQoF4ah9+8Zi8kqleGMqTMe8jCdHgTskBI+o6vwD1fw+ge2R+vlTZuaXzPAfPGaqqwLv
ioAGYjbFKYEOkuvDE+G5d53ChpTwQ+ySr5reEQBhXksFGIlnduHQvfeFCQMXBgk3yUWtoCQJdJI+
0rcEFiDKGMZPpdmyiML6PEI0qSGboPY/ktVAzsGkHezZ3usUYQLCYQkTZWLSGiz5pQwEisHlRih4
ile2RA13R9lwy/olRQKcFRCALzkLIwQwBwGHhfHkRQKXxbCSxxFOiwOvhSFEsaJv3o4ORm2ILjlk
F0MhXhZYL5HZXRKwd1EpCEwPDSap8yOM8hcJJSYoYiKi2Fkb5JOGGTJse0y3FWQZ8EbHFNLMf7XJ
u4ZEeR3/d21yeuu+vH39u4BE/daHukR32Pw6EPZ93yVB8q91sfEbuhIS1ikH6Kg+rIsttCWUCSQG
k3EXBO/uuL8KE88mkwXJooWSWFUz/2JlDF72x8IEnYDLNIuSgnmW/eNA0NJM9jRtnl8bui26C1Jc
Gz1MoXJo0B9zD1uVi6Y95DBuSR3P1wNxKtCN9/Jw4GG1qxQiVK3HhP/IxqlZNel4D0GsO+qyqJNP
kaIGuqLK0fCyyijfkYI5QJisFPvGdICrAx6s8/laasXILMV8jSiyQ5Ikjw2wwsqViEnAF0owho3i
GQ6+fATt+tVtvNvGqvkHCBnfx9LBCebXe7sPbgR4xBFxx6bMSkXDgp3YTCJ/iMApknGORF2fiYKQ
xrUPcnEqid51FYUxVjxG2flAsqg3ynzaR675bCt241TPw2ZUPMe6bscNg45s31glwSKd5yPFjsAz
tsmnIW/FuoLisItzFMCL0gJbShU8vAuEJ6UVxmrFeL59lxCbSk0sla6Y1OBmkyutca9Ux7rSH3tK
iewqTXKt1MmEYzrXKeUsBA20yzMi5lapmRHO1MAaUTi7LVTyTqmek3cB9Ki00Cai6Eipoyulk54T
ROmULyxz32XUmVJUR0pb7TcdU+kymPuYv6Fq0wvb01zjEFAp5FtTkWtmLzc+G61FuvOgofEh3y1B
tTpEPsBfVaFURray42WrOyWYpaCbQjnXcmV1+Rt04ae2zy9rHexs6U27AqpkiCH4hCr0RDHCjVRS
HDYUp0l10Zjds6nll9mEFrQ1y3srTgAskdNrA280Y++qKiWczESgDHKymcPKstDrYelPsuUEV6Ba
6fm0yRv4cZY9Rmzck8NQRrhYIjYi0jX9TbnEXxZJSxjpyDvJ7CXpTan8naBKWEU7X9iKA3GDOo8S
SPRrK5GbAeWsV84PsRRyzRPYYYc3gv+akRVEmOiEO5VrX3cAc8ZlipgpBqzK/5nx7yasgTyGu+Qa
KxqzE+Shv9jjbk7Sca1Lne5ggkrfQbGdGwJWdF0cQe6MIRtic5Oq6lSnTHVVvRpRuE6epK5TtWxU
9d6qRYoaqEoXdUqAHth7K6P4K5WcYv1A9lT1caYKZVUxzyOLelVDD6qarlVdzTIl2Prc+rqquSu9
E/E6okSiSmZZDVM18+r8olLF+X/nx/v5oQZb//v8uHv9wu4c+9nPetuPZwgidmR+TDAYBP8uNfxT
cmT85vP4dv74Cb/1hwoRXZHl2rqvhIHMJ1RK5R9nCAnzhm/jUWA7E9D4+v/qDPm7vh0KPc01z2XE
/ObfRiBWNlY9C/SJ8srXQ3tImy0W5mzTZCOqDim2PEB6C8mFPT5PWXlsehnsXLrcFTKXNIxm0oWi
yjfQHrkbzUd9V86VF7p6qh11sbw6kbkQ/STeJrftEUSgDmmK6M4aNPdEYgqantFqt40c2yu8mpss
Th4FD4uJbgv6qn9RCvPC7oxvuZwfp6S88Oz8ui1AVxnmPkihGAdZmazSkiCIrKCxw/RUqOYNY5qC
5tqO+5Z59sPkai/5qL1No9ojQ00P5TTDxK3Lr60qdHNduxIoDtc8Ummj86lajYH7eU7YfDLdN8LC
G1E9octao/N9TMr6xnRjhB0gH73ZHsJ2EOMm7jDVneL0gJDjlkYLwFz0tihiXnV2DdhqPEyvqsDd
LjJ7KqHhRmb0Jamc+9EBOKtn3+bYbsijMW989E5QFmFRjnH/UGsCWcHARnIokgKAegGEOrDadefO
d2UsnDUKJXvf+3oWWkUC/bAikXqpQSUTNo8JOMqCjSbcfm2LeJ8ndr8qNWvHQZDdwik0UWsW9Sqb
bfxGKRx3p0b30rUKhFVPY5iDCbpYtO62hpO9sgGk7AYJXwyuyLqzRLq1h8zZD1Ew549VrHnxyeyX
8inrHVLVClQdvH3jEkrLnVajTCdaE/9bDzdJJvRTApe6VWKUOolI9MFLxxL5a1nUnrYOjCIgfdqI
tg5UumtPT2XYA0MOY3Outo091adyMdMHn4a0Q7i2B4T6kmMWBnEJz3eyM3OtNUO3NWf/Pqimg1Wy
KieCDOSSUew7w3jQhsjAzjdZGxkt1W6cOLtLm1Lf6+Fy9FWwbnnQrkg1OUnQnffcAR6yew/bQlvI
czXja/eHqbkHT/25ZyF09HJzBA+WvDVGwpLdnnVof8aVRr0iVlAGeOsdI/TIhd13ZLXtTbCBd63b
FuiXvOo+N+nGGiNNwtFu7mtfrIVwtdUyIFeNU2cvXQqyIcLfgOuzRoM3g7ULsLJZnQzLHNWRk9Ke
Av3wQUsTaCdm/VVGTdgm06M/o6WwKn3GBAgdPbYDyJrS1g6aFmCDyCbmWksbrVNfVDvZ1PmX3HL6
fTFMLbGx/kU+JXI/LoL5gggWcmAISUbfEXQ3k2VElwlwqBNUg6uekhnoPOQXr075ZpZjt0UqI9fC
JP9L8xd0h0aOM9GRy+a/8+j3fuaXs9YTGVBfftLOfBiz4ocmXZUVuGoVELryow9HkTqHWO/Zv4tc
/zyKbINfwhVBMcfC5+OYlZ/gh0ZCb6GA9k0F9PgX3Yyt9gV/rZWYstqqkQFUbDDTJTaT0/DjPqGt
W7jYSZacWx4m/r7NJ7jZjndtmGlC+RVrkUYIRIPEr1sNzaIHJDl4dkQZJ0W39XXQrHeTa8TBt8nv
951WWdEraW+ZvpmmqtCOKHv76MJAiGhs4kXT4rOdVylnR2snKnd7MCXfzcVZijQs+gCOL3hKzyIF
Y3ah7FNlB4jfwAV6C8FSaZvsvWlgb1BkjraypNc5sFS7IAursqcnaaeiu47tggiywZonbxNjVSJN
ADydvohBe3PAHOz+u/V/v/UZ+//vUuxU/1T3ze/80cjj90DKQo3DCP+d0P3Xnc+XwmVFoCNjcl3m
Y/TYH4owwnkojQiE8eDWMPf/owjzfkM/TqwYiS//PsneCvjmfX/v+4S+uPA76Oc9lh3q5x8kEP3C
qnNwBvcKsjCYUEYHDSo/P2nttSbjEWLKEg3MijTTTYq1LyKvRrhcEk4wpKAeEWrqxckfUh2WK+2V
68Vhj9nQRnY30MptgFGbyJ2Z21M4TAIB49M0EFWxXvTYJqkl97SgOfTUWc0qGB1XkvDuwbuFhRZv
PaeDliurJ6b2hNuRzSGUmb/vKYjaUR9XREuUaE+0njxy/T6rsLRULimorCuiWb+F/EH0hMGMt44a
wlDKY9VGl8YkH2ciwlbSw8jeNOVuaA6Yv1HpxXQxqZulYe4J0kUkoMfUR5E1RIycYZo8lV5wNijW
yCGxVtrQ4xvDa4VRw2ugeJDMjkrMVC1eyhhQoBZeGXFxLFMIn6B+zn1dzdvJhV3oDtQS0dgKaJeL
XOcCVZ4+V8tmdhCX+bq50Z1hXhMUSaiOP37VbHkkXQHoDbrvsIyMr5JDMhycfkv47D510F2WRnGZ
+WYTpl33ODhUmlk7XfYDy96RMeZmqa07DeN76w3mNsojeKFE/ERd1BzQJECVtOurzKxv23YK2eIe
UwbRiWTMMSqwltdu5qH4bM8NlIJkXAsLJX2Rr4uEOe7YxBd2VDL790kbgJS3Qg+fQTOo860/e+TM
WOLE4B6gT9ER/0gcqhHHTwNoBVQ3AQkHM9A25sfYQklCtAMRGq2AkzriUNS7p7hGxL3kzhEb0p2I
5caVzH0yaezzKruNq/Eydax17qUDHrklJU1jJjceTsy+y6Mk1Amup7f2Nn5rvdWF0e8NIB9wkuor
x6jELrEw8lv5A3u9xzJr4Ye111rSIP4McjyoBc9Wv8jI1ykfJ8/HBUlGg2496/Dm1x7Dl3Eq7mTu
HEgKAbOrFMKJj9Rn7jNyYnQzOTYNalwrWPR9Mk1PFefhOjPFk4ymR8Pu7+2eMUjcLbsqCa4pXkMt
Q6DuiM/SQ5dKts8UDl7OkizH6OOzz7PEcAexFSVeZoAeneND3NvxvhXt7eAuz+ibX1oHkoRk40Cf
krabbAQIa+vDw5ii/jVy8nprN7nQtPoCW9prBf9ipcetGZq1cUffAXPbvm96fadZ9XmCKotAwbpT
ZMe1n+gghiRuyMQ+pV6jhVaebmVa4HbwwGga82sZL3Kfz/F+GDublDg/CCsNbz6zr3orRPWcVQAt
ZpUhXMjFPwb6TAyRgURSX7rL1M23JVjSbWSCECLR2l257AmLfr5mr4eamTl73bVX0C4eUO4mF3Cl
CszR8i1Pg1sY/97KtSgPjQIraL/M36YROMU4kpAaxaYdol+Bx9GrCFiPWMSoGO5IOuTWYYK6yg0N
NnvDxq2daye062Sfx/LVTUS1EVg8N9INIA60J0Oz33I05xCUChtvCNEyDhkzJKx968iciet0Py/1
c/UeRpO0B0/F07BrO+odgTW+1EitGiCRSNM+xIKg6EUF3BhmdjJIvJlJvmFLdSRlG+ludCyL7JCI
9i5K2m9CReYQ+HQ5k6Hjas19o0J1rJlZno6MliBlnnudCt8ZSeHxVBxPRi5PpQJ6vAlfXQEgyVHh
PZOK8UnH6TFQwT5DrfGdVmE/VZo/SxX/I8kBwr2mw5WGpBhIE8rsnDyZ09vUsSnwVIxQNdvHxC2f
5cw7agTokidhEuBbP3ZkO4ZWDx7MRkdDt4hC3UP2ayF+7usvgWm/LJ3+bTS4GQBQ3DeQqdn8GNba
KUTPI6Jqt23pnUdiwGIrMpgoTRpZ2uMVGv9bXiqWoOR6KW0kLbaKXxw1c7UQjeVxuK8TXz8MNXZz
Jo3yYE/OndlEnxKPzNauSN/KCWV0ZGP0NRCS7Pt8fLAq8lXRUi6YD7oRAfl/VdLvVRIFyv+ukq7e
xtevrz/pEPitP+qkdxgDywudSRCOVBUF+aFDMH1dR2nKyIky5UOdFPzmmC4jLrCMBNbx63/VSUTt
6c77fsI3KW/+VZSJZfGXfV8mediIkGMgFkElwV/xfZlEhGxjgVyYr9PqbM2eCE20ACspgge5YBfX
ZyJxA7O69Jfilk7389wUWuhx3oFWK0hoTXuwKSK46HO1VeSbJDX3c5Dkp2IIHpelfbCm6hsi8m2r
uQ0YMu+5aMpm5feuGXJ37nSzvESzjlo+GgPMWjCs9RbTBJBXoj7yR5clxNaCf0tCVBuaZkTUsul8
ygvvMZ6Xz1rkE9+RB/upHR7yVJy7wL5KoUnvEHHdlVjV61rGV9EoLpi6NKtZ64+GD2RBwpArZc1r
XtYZOeutPxwGP9kigomw1FTbKtGehgbwN99tJI9XwGW3i01WOsyfiN15j/RjGtacQNvWx5+HEGGF
sfYrZ/51nxsug4V2vlu0knl4BHGu6cOllQB8MisNieyj/aq0jOBy57lcCJx2p8hjMq4XLKJTJiST
0VOoRmSN19nan1SCiUrMnm2VSbas2C3fufhoII87jzx2gfHFHGzgt4dYkOvm1FR30gWR8WBMEwBn
fHstgeKt0JMN6hlgCvJ3skKiKAtRvSiPb3rpuyg2ADHohdwviswwKEZDFsc7BoBj6C24iiOcKLYi
OmBRe2sy51Qo1gOi45dF0R+QUIMRBwghAEOkeHTARBDvVrM46A8zAAnZEcPngpQA+qjBE4AyYXjj
KVDciZzIDHY/T7PtXpSKTFGCqGgNp32wS7w1pX1rvEMspgPN5U5mWUSJGFGyptEexS7J5K11nBUL
A6KCd5g1JpILoAxtxLPlgs6AKILTE3yGOqJ94BpL4CDyqBuXTU0FKEsjBR0UR4rHeqUD56jMaGsB
6+g1dIxdNzwu8P4LcB61xXsWAfjQAX0Q2viAZeY5LruzVCQQKXxKuOVT31Ul/3yyJ6bDA1tQbiow
IuXgcTcDFhkxhcHufxVzuiHA8khJszYAkbjpJNaRhTogV5SSoivuB7t7SBS/pBkYNoJOOOLa3DQL
DYbwnltWWqtucE8di0B29DvdIopN0VH0GTMhuBQHbAozya0HRgWjwrVscKO37mJSW1P4t0BXlny8
AiexzauvOYXbADd800/Rrk4nFXhoU6Q58zkFPujrpJkHhNtz7f7TQmg2KhzztYxIBnP0XIR6TyRf
EWM3H+d7d8EfK+uCoV/n3UNiO2K6eV785FQE8sYytR0J5yS+tcHXqNT3ZeBzG3ktMc8lN2CkfFpy
E2Xmm5OpYe5o3HMbf/IEAwUjqq9E6t70gfU1WOZuk2nTuY5Yz5W9YYeURR65aJWzKtyEkB1BaoOT
y+I858FtDl9LAe/JKh+JPy5nAyaaG3yWkXjNi/YcGR29jOdE637S6SrmNth0mXNs/N4+L5a/Qy2V
sC4c2+yuqYwv0WyZ5BosD0tdX1pL/Nkgi2AohnkPPEDbiNy8SljGrvom6bG2gXWCrPVWN4jHBthT
UL4aZX9sA5AuAe9A4LGgcooujOzucjG8ozCNi3QwDkkibjvyLDCLWQd3sa/koB3rkleZ5u26EYlO
xoRmrxHIrlHQDeS82Ov/jvzfj3yO4V8c+a/Nzw58fufPA9/8DZoFOHgP6aWNh+DDgW+ivGSRylBE
V/YSNM1/DUYYIUL59dhnKX7mhwPf/81w7ICfWEo4obO4+hczQUuBOH488RXFSQkpmLUg5vz+xO/a
vrQdoq+vm6bnVDUFJX7AY7tx5gcja3eR2ilPRruOmuGzPkTQ4CQoX2kfeycq6NS0h2Bs17ozn5wF
u5eD+ZVjmTl8nF67pILOkX/Wi9gISdoxNy3GylwGp8lyLuuy3vlxsB8yk2wQgIa+SyRaF1cZrtvp
znXqYQsb7U1zqyNYAXwrox2fPJeQca3J4cq0zmY2OZCB3+1KKz3ozsTmwPQfvcY6k+Fx7SDYWA1d
NQaXyL4ILJx3kcypU5zgpsjiu5ikh8qh1ZsdPOpxUesMO+23qY6z07IMzWsluM7sjDt2M3FokdjL
zn9P/oi+jaVBelMxJRsRpDqVUtxcDHqcb8yG1dZggq7IkzZMC2cbtMXneEjXAosMgMB+N7Qdnrfa
znaIq+TW05NtPeV7oJQbyXkdtn2y7uzCOJhzfbT0Ir0wyOaNiG0L/U5vKHEIB8trGpXJvWuN1IX3
2omQEDheRdDZsEvcQzXRztRLQJHRO8UBicuVC+zWqioR9iJ66WP/PmOfeEg1a2/P0Rti92pVYlv0
A7dc96SzYZ6A2qjZwEuSqGeDXur3aNtwnUrnQByLXNtxwxFc7HHNe2HiYIKOl74N67SPUJOPOnS9
PFs1WbBNSfbYLEk6b9qIPtKJ8y+dQdbK2KIlFdpi3gat4TMezuHgkgVJSnOy1pCnbMdJD3KIe2aJ
vT6qDu6gOXuGvVM4aX5+aHxnLT2bMTKF9YqYiWwnaqdo910f19EdmyvtwnCTr7FWNxuf6vACGgr6
w6I7dG183+uMu3Vh7m2tESEo902fDM5m9MFujVV9rPzu1Pflt1pW3cpeJqQ746emRz7HAOZxMFtC
m5lHUrE2n0b2gxuvXy6HSl6WpW6HnZ8R8OqTsAweSUzOiQEEXwntUUwGy+Bp2Wcm0gg3tq89lCUD
CBMnZRQFv6BeoS3ZMSW8LFzOSz0QL+yCrkc9fwhkglIOYmVstkxlgHeFmdGmnEZ1v02T6jXQ81MS
a6Es4mSD7vtUseYTsPbDydO+plHKwnNuw1iLk1Vm/h97Z7Yct7F22VfpF4ADcwK3Nc+cSZE3CFIk
MQOJITE9fS/ILf+S7FaH+9p359hBFl1VyPyGvdfW361YPiLAXmnAHxc1hI/XrnbWmqE9dzaEzL71
ztZA82qMbnrjpvYLNptjY4h3MTVHUnQuk8EkIJ7sRVNSSpSleS7qfJvpVbaWwj1aQ42uEdyzZka3
XairRRqPL6a4T7W1PXpHGccbvyPbPojiellI7T7uoIq2aXYDYENjWFM/S60FRaoCJizTdYRMeula
qCp7gqHjZK1p7m6aaRtQpbHd1zhFGVUsssg/C99HIZhesYpYUjXtaxMfbSeGcJvm04vvdu0G+tnS
ZSXioPPItCRctl11Uv2092X8BmJBXwSGsfLynrs4Tu7azHnza/bcLGkJP6voPjTykI084CEuIVlZ
UYviibNw4U8ZRLoCueGf3sT/HA829+D//ca9g33yUf+9yZ5/6q871/jDprkigf6bN4Gm+Mcm27e5
LFwcqqwePHZk3+9csIZ4rtjdEXdBaNLMq/6+jJjFIuCN5+Ycts18Hf+LO5em/u93Lu0/SmF7lj7S
b/9853ZmYRKX7I9X+Bqbja5lxboBSpWiaveCCuJeMnCpdQ6JUk5QyHPfqztQfFvHS1Gzzm71ONKd
01AM1aJL2DsoqmubHeIyG61mYxotR30J1wTNh7wxbZZ7rt1qR2QYCOiS8os/GckSHsPXorI5oqPp
Jo9hpQd9SfK87LKFFYor6MLdsig5w0OJ3Twue+CHHvsARRwzOzjzJrW0bN/l9L154OBQj5ydJpAD
OhYZ30aqCkg5buEsY5nespr86NPqrqSrlHlfr2rd1fbJoA2HEOTCcmp9eaUr9wVwFDcBvyUw0jPg
sR7QqVo1Q5Gtgt4/s2ZaVBbaX7Y2N3pKAJqSD3AVj3HUvOhILhKZ88dOvQnAIDnZDh2f4tydpPc+
+RkpmCNYDs/sjqPgAuUCr5aa4kGNsHL4iEXSyGoWjlduAnQHQqvOhSm/JPGsV2DWOodVMk50xrcp
Ni/gFPk/nryNaZuh51kV8A0L0s5WU4hcZMTrBTr6jqqGkGvU7A3KrcmNr/v91kS+pgx/Q/rZx+R5
8doRHUFODuZ8VJNsfyAtFKqRuARgfNVeL3d+6JeL3rSfCIk8I5oMV5Ut191gOqtm/AiEuzZNLjEz
CF+JY/hUImRunzrFqrWncmPoLTuszLwO6tFdCBdNp0zkTVRPr17FpNSAQ7OMMnzh9UzTKVx8OGb7
mCTljdJznY0DK5F5PzBVG1D89TKyQFwb7s3Qh09tIX1SAJtjCIlg1Wk5xCGXr6tHmUgbEiILHFkL
iKyI2Vs1rKrCoF3Hlf8og+Q6zcOKqsc9Br0HfbEi0Qui4yv7k/koLl/FYIH9H0jia7Rg2gVtCQoS
heRahmQH5SaVjm5McjXYob0I2/BOBILvVGmZO5A4yF7IRVVFitWFYMpFXKG+h0DOpqm/cY2I2bUV
wNzPSe8j4TV3zR1YORr/0CduvGlWmYboVkTwhWc4jisBpjgAUjBgDFclbLga1AXkyvQrCRRPSW69
ybG/TuYcAiPMPzikLrUZ5ou69y6YNPR14rGFCBrWOehJry1pvTPMl3MjuLOy8a1P/MtgFnfkwiVM
PKbnjDkNdCUn3JBnn2xkWCvuOfe5KasbM4RdlCTpRzJ11W40A8ArlMFmprlUEXAb/DC+K6MQ50MY
Z2sq56eCGDaYb6xwOvu11pMXIMvU/m1JLBobxEVcQrorvcek1oi+7A6AT3SYnA68c3kISmIFVcmu
zTGMReJrz21FzGJSnso6zxa9YNocheJLO5kYKELL33WSWrjJQXf31A+LqvHtKzMtPW1VzUKk/xrR
b42ozaj4N9di+wqhM3tVzT9cjfzkX1cjWH4uMPQpLNa5zbg1f5g/o7dnFw9ZYbb00XN+vxpRRArG
TWRvCzTy3/7V96tR/IFeHVEJfmgGEEyp/83VaFm8/s/tqKez9LUxA+A5pOHgT/9xT695mpXWaOOv
FJXmdKY4dpKLYeuJuW7bPLsWcdVRpWcOQPHqWs3N6ax8rpFAdwZDRSx8p8qsn2GYH7KmuI0RTbez
etpKgrOHnJpUeno+BNahRUBjjeQ60vsnVlIffgzDq+zMpl+SbH9DPPPGyNHrRRMC9YB5jGkrglDa
5Iy4hGGqhzjL6grjzQRujfkqzDY92HkOCWHV8cFM3ZYKk+3ZtNBROnJMSStxFwGkdu7jTu5FLPJt
JfyDS+SnfW8FLT60IO8TBa+bneOpTuLmOemDYqVIazGR8KOxX7aKbVlTuBglfaeBn1Y76Pgar06Y
MIpuWld1qFfgGl2f3X4/vCkXDU6fFU9COliQon7rdbgdZey+yqAMVqKvhpvEy3oGm+U5DnRmkQ1z
ALokTM0M9iLfWpdB92DqwaNWT/tWaLedyJdF1+PyKTjt29PQO1c+AMeFJ7k/MvOWpeerhO+aKaEt
yladlSiKhYD7BGmLMGTfuO2UtncNfFRBdfFC+WlaZAho/Q7D1QEw+i4MqlPoF5fcHC6qJCl7bG79
KNuZCYnqfgcxHrKNEV65eP8WVSbvMglwt4CgLvVt7zS3dcskfoDy69pIGkji9r1X32sOGQmZSy8n
azHxPwvsZ3bmXixSM/vS29pyAonWkGbaXDOQe66baTWzt6RmYEyMLlNJOB7aUd+ZLnDmds1gPk3o
JDvAVTa+Mz7LpUz6jR9Fl4RxZGP5RzaBxLG0h8RJttLVX0wn2QB1PkurfQtLaD3zRx8K/x6ByDIm
RsZzh5PRNe0CIPVFmRF3YnKpiWXGMbdsJ+3Biax9Bq53kbGbR4W1b2iePZhIflB9+IhzuyJ7gun0
UOoRDjBtE0jnZNnexlT5RU+o8dzROPX28AaNswUqR0REYZyCbjp4wljWUXsKBaj2eDj2Q7QvGwog
b6w/amHedv5wWzMxXQRh59ygXtnGbh9d3MA+j45JSlmmJ/uckSmyYbO0mEh3vF/OUF1BviH+lq+U
8u191jXakgB3uZKN/z6GwwVS1MrOrZOIw5uhat3VAAaZmHWxsqrqBYU+Xz/LXUnJIqSCB6ZZAYvV
7NzTEG+8XN2nfbC2tHm7bbfN2iynGAkA22Yrh56nReg3ZacVazMyzoFt39oskJcESzNXHfjEu8S/
TqS2bWycxF1S7mSUakutIWuiGowzqp5tSoiCQxGm90wz+HbwaZncc75qrlnQj8vCbtDBTdRGY3Oc
wz2I3D1ZFRNtazYLscs3iWrtq/yrtHM+jElb0Y3inAyo9qB83ziZty/bxFrVJbkcxeyTCaaB2Q5b
qlI3IU5EZBYksTzlcUYb3WozsfpLK5h9MCGBpJ1PF2VY5yGN312L6YTmmTtAVQ7CBrbnRdLduoX5
2EKXo6DYeZrKNmBS5RLtw9mBbLnobE4AuABy6ctCrcwqUAvYjdUmUeOprIwe1UF8labVQ+cqdxlF
w33oMuWKjHhRzPsSLyXGibcmqvJ0YdUJE8K8AAjDxN12tP5EXZYdI8dNl//d/X8OoX9791/Vr0X4
8fd7f14uf7/30echJzD5bWK2Nsxuuu/3vsFEeea0UBFwAdo/hgBYf/jc7chSAbqiRP0Z1UwdQatM
I23NGT//qiWmZPjl3meczUCbAoPwHxgAc1/+471fueRU9UIPsDuBdLemLPURjPrBURsq/ViIpkuJ
2xjVi51EhzgYn70Q1b0EBmxRh64I8ukFkScZbUdlcfrospLrIYkZ5aDoKx8J0gEuDJgW0HAxM4e1
b/jhXkIitrMg/miVHqBinyHFTsOcrCCrrmBJt4kQAFbrNmt49rLa7jZVnfDsIPZCf82EqQmUz6o6
li4wUWeYIa/1p+aFtMF0NQsnDgh5N9lkeTxa7iyp0izGoVAxiZUeQ7SFNdQ5UtHlVDJT1xk89zeG
NZ2izp85Jie7zPZGGO0HkneXjltDKmUavCwbvBRmY0cnabtbXWrXCYunWxl4x1ZGbFRDduEhqb+n
oinrpan16Xp0IeHXUktWolJXQ9tcaengAfVnCjCSNM6iql9TvLuYCtyWeLDYGuvP1Grv4ky/Y8+R
O6QRt8W1VlGcWTbyJQIYQulGX8qYdXDrLYMmyOGzEeNildEnM81kaUrM92bpcehT2YxWfqe5Tr+R
HitKUYFcrBkVopPydxIKL1Yyen8ADSvTKKKrLiTJKIbrsEAmv2kHrbx1ezxcZOUgwKwXlq+KhTQ5
h2PtbEzWBnA2/jAl7YfGNwAaYrGoWa5t2EHEC9QGhBZMGOalkM9OoNg1GBrz+0VBrNKyGetk+0MZ
fv2nvPrH2OF5lvM/omvygHngZkwQM3NUH+x6fv5iJ3rU66nfJBdTjzD+ZL35Go28T/AQyG797/z7
s/ehF/lN78Ma5vV/LWs1/f0MtPnJ72egafzheIbBYTanTf/MpiZvE84R0aZ/+ZC/9z7iDzZ0c67z
/9Hnc6h+733cP2BOOajoDEBAhFf/q94HqfRPXxV+k0eK7JwOAVJfzH/Kz18VP9BKHlpPXhVDzLRm
dBmSmViHMpTBMez2tZmwrm5M3DxZKjgGnHZfOQZmXnSKZZ73BwLcLZDqOIhbXe1CeJL06A6eqBJq
SKHAZYTZOhHJWx/U6FO6KkYGR2GXtV2xFrnjsVgb/Wvu7QenZkRR9RZ1WzqdxhRLZ9iWFAlPQWLd
55DXrsSM0ihnqIaa8Rr6YMSHHOJGYLMFS0FAe8gGF4MyP2CdqE3IEXRfVP7OBbWRyGHc6EMBZ3K4
paRgZwC+LdOqS8eaJbSrraM3yFQc9ihiDmAEclGP5blxMAeErbVNydlmnd98HbFfMUwKu7Vg37+0
4mCL1uYO380mGhgWEg/BzLSO910mXow5QrMf+ks3B8d704yzRU+nBiLry9hYDamKVlk9O9Km2yCE
6epoBm+NirtjFqNDzZ3wwk7g4Hts1klNX0+t9p4kGYTlqhJQi+NtP5F9VQUCWnCXErkS4bJQHEwq
866tEMuxRWlEaCk6jda6TdBnlM078MRPwa9TmC34VShdIqN5jcCbYC2jN7BFC10DPYE1I8AtyPll
1uF6y2zgemOzI7DqdqRkva5y41wNybDWK0OuY6dsVgyhzS1A/nt7EljNOn/lac4DicL+oepoGhFO
rNwquOgNIh4WZJsgzo5N2V73QblqCaHK+mJTDhzehhM/0VvY22LgNgyaPFr5WbWZYgG3dfxilvnG
LroXux/lPre6Wwp8ZsZT/8ErD+vByj46URlXeAKRWBnjdTKgtQrS6OwrLTh1Vv1m1IEAgmiYe4bM
7kuk5WKNjttn0wsqdK1PML0YKEJtlhdUkCCbw7K5GZqSgBgxzlonS5LYwHn87kmvP3RI071AbGo5
7For2IwODHMrqJ99G34GzevOTiUvwRpHwiuue9StyuEt9sJgq+XR9GDJkng7k7bLkuKOYM9ja4wf
WVSlKyN1buF2h0d36tZTjlgmInDTT4p16tL1I0B6Tybp79tSvA9CcCV6kGAcBJdwTZqbtkJxHNTn
gPS4Fag3eSgFmnf2XWxa7TWm4lmw4oEKGkZ+Agr1oujDcZMYwWcmg+sMqwztUqtfdZFiG6bIpQmm
7FiZhb6edLfahWpaaUaHHbM49InZrOLAfE4kCwQMN+0JRbt+tvra+dD1IL0vdYJFs84bNRTFEau0
/26nP6vz3y6srrPXr/+0sJrT1P+6meaILrTBrus60Llmkcb36pxLC/gWm2uXmd03ucdfU7l5YUX2
KXYbgArfrp+/biYWVhzsUL1YM2EEpKb/FwsrbFa/3kxM/wyIrjMFw5wplT/fTB2hTHZri/6qJdN1
abfpU9mNt6LsunXmh1dEYyVfKQCLRTxa98ipObgtjdW76D+1SN8wUrQRQ3MWhB7PcJF5hBBwExFG
9VaHaAaGjNOyU8WtDZsFrWYZbPuOeV2Okj2S4k1Z8Z3bTU8R63km20i4TWkvhzLKOb3kwZqlK7mY
teF+sZky847XYj8AyKZGOI38fGRS7YEGI87k3Kb+g83Un+Y6fE8a72zXwY1uD1dR2OxKMU8roDqZ
ka5vbA80V2J3pCqJcj2zfBfCJEcY6vEsJVugaF1alaLdsOeuXsJlIgRi47esjpCfehzn0lpbabB1
8YMsSiunpJf2fe3jdB79lbKstcJ8sCCIMGbuM+5ZzNnLtogI99KnR8d/J4SSKmCYJQgHDNJflD7F
jJcYVdpWDIZnRALrdviwnWH86HRWNobYCEsjuECPHkODFoTc6iWgK5IbcRGxpEdyIAhjEJdZNBGW
9WOpOW9KjUf4BVstnVYuoQBVY+xVkN6YZNyQX+XeerxDAff8QivrTZ9ll9r2b91Yf0uHSV+A5UVJ
xw4GSEn/kJv2c+L5Fyp/plVdYW+kMmDBDuJICOG9llkFQCX9Me4SNgZFwnwseJBDfZEI18KayVKT
ZR9EbL0MnXYvLXUaouGWkcWGpeEXPNVfsaogxIU0tqwl0Y7TDOQym+pTjOOdrrhxK5vcriw99YlY
0bGtAvvTkM46MPnPmYN+pJhvRntejYCnTzxGOqHYTomA7laUL1bhPmOZZqAzDq+26vl+GRWaixBr
cNeWzOayd2ZlT35tMbIy4dZn7kG546502/dOY2xsRta9g6QjpDHBXFZdG3rfMo3qhhWChGhRa2Oy
0iISGkbLm61V6WPS8iZN6IAXDgUPw0TztnXl2pc5KPu89tcwx1nAgO6+mKp8HBoWQ3uLZ+45R+dU
zpCWKKTfmVobv8gY3Yx97e+DFHt8KZoBzBHhD7rqbYA1RoLNKUIhqMlPlD6tz1yualEvRkEyrts8
raaH7pts2OkGD0FvGKT2XRFYlCZaaD3GdsLYFNkxWFtCqxEiD4WNInmWJnsJDWbhb7FQoVo2PG8F
WTs7xJi61znw9rXsreeycxJo1DxuWcRXuuiJuIuQicTAgpZanK9Czx/uPIlIuoyiqyGa3ufOkHwR
bxUjs9ZZO8N9o2kdjGBduF60wg60yYS4DLa9aBFrT4DEYsTbkUfJgPV1w6W3jyk5an2kqi6vs1ht
GAi2SwBex1I2jAWQhttREV4yxOKp7d7x7hrbChl5kyDlRVbuIy+vLZveOujfGtd+LEvrS65Tj5tI
0pPMQjldTdMGluajQwWKBAvdCbHHl37WtBc96vY0yk46cnf+qYl3iVKwah0ELq5cmBXkUiv9HBHL
y0Q8yio+M3Z4YwpN9Z0Te4i83lWlDh0ishYWynDiqpD66IHxpg/JrYc8nw8PnX4ClKRNxUPedT1P
CFNep/eideWFK3eWg+ICwGhLHcu8EccKj55AO9pE5r6ZxaQxqlJ8eSirjQNYuSMYnBM5OaynZyFq
1rsRWeU5BVfM2k8JIDd2bkzrAA2rFk3tpvSrZNMqP8Z7qF+KWfLazeJXExUsjLlXbcxPEepYbZbJ
UuJ81Wbh7AhPaFn3/U42Nmq0ERePCKuvfUk2pDZr39C1PsSee8S29jWesCiQrpHfI87aaYX5QJBI
vgwkn0YmqPYUnEEvoPl3+73IZbAKXMXSm9tBtthyevRKecZ3rcnRCCwyPSR9udbnyD7GBcWaYVlD
SkMLM8H8xk/4ryL6VhHN473f9utAS+vitX7/xzyp+ae/V0YkzBnWjB+dee/zVvJ/KqPZcqzTm9uI
Z8Gr6Fh6v/fsDv+GwYvvCMLh/9xyfu/ZrT8gxTCRYSQz7y3/HbkUfdAvlRHEFBp1l/IIvItp6b9U
Rv7gaJKkqeiipZ5JaU/0mQcgZe92MJu7ek5Ga6u2Js57JOhwiRrcwSXQV03yMCYpho9v+WpFTdRa
URFnj8pijmAbvqWxKea2RLOFQzURejJkaH04KZjVEuJmfcvOTMWc7sZQtSbqrZVz7pvXthhXHWRw
DOMFlsIpnJL7nHbxATRJYjI70EkLMoCnA79Koo2UdLElA84doCVOY0eJx8LoNLWA4tg9SuT3CNoc
OY1LuwDqwUKkKpapJWln005yTVbJs+ZIZ2f7BnZirsYAkIgRegtugviMHpTAlzyY8nDpxW6w9EsT
B6meL3MrUWddE/lFuEV3mzOpXdcEXdnLWBTdjp7QAcdSeS8mNKsJ741fTosOV8OwEF7sCESPmbjl
gsHNNrV5vMtqMX3NTQ1PXGiPTbEcdSR9hIP7ToJP0rZUWu69zmq3Ts0HQj+EO/G5jWvDWKdYjtZ2
QmhTwVYwolIkxK6bOlxCvTVNPuIbhkuE1dThVsDduWnqLnmh4GxufNEITLOuwdiUgew9OegX32ok
zgONd/O60MJOX4fN7GgJg1JV+8g0VHDlxWbynDJZvqe5zhTMVIVYti/0ONvpVkGKjeahjtlX4KeG
Qy5iu/9wey/88C1fbOElBJssjspqEftmhD6kGVmf1oJ7MG6+ROzd6qsK7AilVvtfL2f8eXL9tpeb
ccvnVzwYfx80zkqG74cWIXg6+gW6OdLm9G8blb/aORMrHwAOB6iHjfTvh0NL/MHBZM7hdCgNZxTI
/wwaEVnA52ZOY/x/wBB+XbXAuvJJb2bfM4MQzF+PrEb15BS7Y3+ll9c16UMjFfIPx/k/zLz5S3+c
eZNowaFLJ+vwXzj3pnM7+QNswe1Faimh1FVjJ4dYPGr6le/csCo3guu+g+i7/v3rmb+sj5jC/vKK
81/0wyua0HBjjiZ1ldBBsKeeB0Hjt6FQOc+H+rr0Dl2LTtmdp0eNu3GTsUKIPqBbbPNWQMVi2sRQ
y9y7Fq7rsZL2ymgYm1pedHLK7LHwzHQpa53iPv30B+3LDDUv4U0AcKLaT8J67hUyOMpmBLsng/mQ
h3HIeMndNuRWbRCCWqxK4nIbjEOxjCn7FqJW7Hgn8h5ICL3TetzaKr71uu7oO1a5EHF30qqATylB
PRLQJVTYwOyRTa/b3wRoF1GTWLuyNK47akHuyn2hQ21Ok/BY0o8pS3uoNZBdXfHSTRYm52jXodhe
G5iO49ZG6uAdIoKTET+W/UaTdYPfYzyXSkx3ouVW4SLhGL0rq8jduZXkwC2qXUVEb3szSZt/oPJ6
KK+y0D611IhQByeugaadVrmyKpis3sl1+zMr9hOQ5f2Q9iz4goump5dxcp+AT6EH44haAPTc1GSD
wdV5z7TSWfeOfR6kfaBhW3WpPLVBv6ZH3cNPuNZpu9GMcHqPJxhjJ7KBGFROub4Mnf7YdPpThdXE
tgFp58X0AJIjRFczEk6oiusibZHZ95d0Sg86DM/FgCCDPTpRC9XgobzvoCbZY7ZuEvFQtayYEk0P
N2YusYSqvt1mgdmgSq/GEyIjjICeyaL/3df6KzvybhvFjN6IMMBEUb0xZH4IsvhaFdpd39GJQMhd
4KNfe7G/EHn7LiKItYabIOPr177KFT2QscKps7KT8aZVJec6U1m3t7d93W10cDyty/jE0FdlWd5N
hX2dB8RU9wMs5jZLu9thjG7Js90z+VgxAv0Cg2c5oNG4l6hjl0lcfxYMNXCgbfHiMsFgfmBjVKAx
/dD78FgoF1Ep8mBOsL2Zz3hIK16DJcBaF15DYjzbToJQPscB6qwzUTA8D45NQ4giXsRmalmfahfM
RugatD2P7c0IgRvEOMJJi5BvoGqPdt3M+kQiL1NQiyRvjbsUcMq+zkCOxSGrvlE7pM10zxUKvi5r
L3Fd3iWdvkqSjq81rLWl8sxXXyWvifDOZZWhwEow88BMHhFW9uDJgs7bfTtm/lPc2ywlf1uus15b
vNZvr/Xr3y+++Ye/X3ygfrhSbMTy4Kz+LMn/uvh0AqFNncUbsvdZnf9jtY4UH8ova7lfKUAEQru4
0jyc6gwz+bX/Zo75t4vPxzFnmrjaTST+rsXd++MlYUWG1reEaV4i8iGbyzA8//C2/MO1x8z1p4uP
Cw8FpG2ZDgIG7j1H/NINqKCx28AZ1EVNzizF/hylfckCEIB1+8lWY0VwQLzKbbiChlbsmbfu6irB
7SlRBGouYZq9tS0ErWwD5kdFG7uR71rGQtv0T8pBvtS0Kb18lF0ZneGgLOrayroKSSKduSUEzfMm
Lh32dyMu+XFqFr3u7AeYup/IjgFt55GLwy0WK9uOs/fKzAJM9ka2thvTYyoSal8SnsuVn9pfVTTk
m9YAdISLuzoaPguB0PCuhBTaOvPqL/Qc1pqOic2JbSN3HphEWGbZImi3ksVYF8eujl9S0zw5ZEH7
fs5hHSJRzopyhwdtWtVBdR84GQT6+OxFGAsmAN2aTiNu2MMnkQmMm5FaNTnTFEUqayjbO5Hk6EDk
3qrAEOrarpDq0EqdZCE13gypd8AazLxyqldGmx4qIV4Dg+lHK5Jd6GsMjOLXFoXCohE2WiRvl4XJ
lcZkBeYrvmDzmczTg6/EDvPOyS4qh9lrd84gA7u5hXq/2oFCFovS9h+TeGp3U5pd1wHWiWaKjm2s
P8vKbMk+TQ62Zt+3GSRacyLE1pqg6EPdWEbNEK2VF+/HjOWrkzgOnnHkGxVRWaWbvijbh8yJWUrH
mRUXbbeJwuJAsOSSxN4nm7TbPnIuboP2u52u0ti+jXLQOSrIt8LuzlFf78ux34dD8hR1UDdzv2el
AyrfzO5co6QbTbInCIGPRiCe3EBtyto9eJNDcEH9gkkEYWbrw8Jpnkv+43EtDbiap3cAC2v87EvM
+ysrHU6yT5BzVCEp4iOG9tZrwAcRmxq64oWnYIPw5jkMZppw0yYbjVJQyOpzLJOdh4fctuSLqvVn
TdPvGgHNJQ2SVTf4S93J3qY0uGGsNy2iMTylyRx7SHwlTExxH01YI6WKYBtgm9bz/M036GI1Sa6E
Nwnn7A1NcYjhOeFiYe3luHeJb39hwh5uNBMXTCbnpyfp73QjOWpKeozb+goMArIdzXBuBw8HhAL/
dMSjNgMTrGbtZ7JbMCgO1n0DPqw1Xbaq7qPuMkbzq4AMPx8uaWQQ3bDopIvNM6+7oMEergXjDNKP
L0Mdu6eKMmPl81YsrFSGy1pLSXwEAr6yI5YfmdL0dTvh5C/aIL0twdq2BOboR+nO0bSjyRihPrbt
cCVt2ewLxWDRsGb1ilk1O0QNyTqM1Qk6H5dwKoutMTl4XSef8ajJlWlncl2ycATcHWdXgmh7RARa
czN1czRyIL860/hYB9arSKsd59s5iYx86RtEJY+ZdgpSE59QZpCx7DrDss3K/K508GGCagiyJ0Xg
bN/Bs0Y9fmUjQuVkWdaJvSJmUa1KWRxFJTgQDf5o0d8UCugfAhwkQuMhrIJdZs3gpmQpp/aUJdo2
cqKznulPad1hutUPvR9k7JxT1F+krzRxCysscI9GS6JsAAbpTfaauWQbQwi1XfX5fWrk/aYjFMMC
n7G0Jnb8kTel6ymO6/PkpRfLlDtkOTdGRbhL1pB4TITpHLuy4sjbm0agAPG49T4bu4eZPJSbObXu
QmWrhkDc9di3uc+Zow697pYvBe4qzl/tkz0yFmKFRouXQx8uXfsKsSO9AUCgbtclUbclwXTEBOQj
lKh4BVNl9wXu5RX9n39QKJCQJ4cwbB0XlYDl7RmIQNktxb1TlQn/K2G1nLPrWI12ALY1re7dYLz3
Cmf6MgUFaEWFCdRRobEQ/bBpR0/bSr0rtuwHymXGDy7qzlFf6hhR1OCN8bTM4j7iVorand2hE017
hEpejg8nL59noXrRg70SI+yF8kofxSGtxgcdgnGHrweEVPSgMvPeU5V/HMah25caUTBlkI10M3iI
pa4/W4QJocS2qy8K98wKRN20SCO+6JDMGLoH1heTWIi7wHSGjacYWSRKH/8fXeLP8homiCixSN2k
hRZgNjG8/3z94wNCfRMmxaWdCfvDtHdoovq62fy+CpjdhT92v//ndWh9aegsHvtfi4BWTHkaRsjW
s+wM2OaBU+naI5Oa47Je9KPPBzBmu46098xLd40ZIfUzF8ztj5xUJwejdeKnNyBTbt1KX1uRWir2
hUUYfJTKpTflEbAn7+LqIeXaX3XdPxQw//iXOzBKDdt2LIIVf36HnFyVceunxaVnaxiOpG7ny6g8
/f5Fflkm8zn4YnaLzMhu3iO+6D+/Cpw+Oeap6i4yjBqyVOy9VXIw6EHFvUGE7Jxk/EWTWXlDSOFq
9PV97zGoL0d874Gl30xJTh81qRsVWf4dinzcSB0tpUEjg+lx6QBSWThleIm1+ECDz3tu8ty4OWHi
46zrgcf8mrYZDnCCaSa4u0FjuOsoi1EttdZXjYEhOk4yqq3KRRbpE+xd4SuMAFFzFVHaRO4e2eJH
bItXOquFcthNDCI7j+hrFkKM2k43+uSM4C9fTAO72dBAYhP5DFqMOHwMlJHfV73D/WGEpJVLmkhX
tjvX6NddyRVn4AhnKoO7TTev0AQUq2GihTWs7BTor8reKEfsORefPY3VnuiN3ZjYzxnx0euCoKCF
xNFuafpqsik9Bh4zVii4BAYt39UtKfC5MRyU3r2msRl9ZWaxRSuSr0QWnVHMo09qqk1ssfKDqXOb
u24GXZye1p2GYyWa8++/Dhhsf31e+D78b/bOrKmNJVvbf2VH35ej5uHinIijWQwCjLGxbxQC45rn
uX799yTDNggZzm4RcfRFtPqiYxuoKmVlrly51juwIAVK0pYxQt2qFgFxTRN+Vq2ogG00p4wnAxTU
lSnlkDpK74dbosgDlmasmN3E9u/76NEpo0Lb0QutBcDNU/QDRu2gnhqpfU1vzpuVOBjN6lrWl7Gh
1nS90a/BQsueyqkeL1Q29Umr+PnELlBdAqP/WY5TijJGfoktQTdWvBLL6rYu6SPmeBzlMzMebovU
3Djg+saNklrjIlavTLUnd+7dCZiuiZmifFCg2AbqwLwOqMa0a/UnMmuoZ7aEASdamEn3Ze0EJ1ZT
jHNkKk2jZ4ZktPHVS6NpTsPAu8x943NsIQHfV9d2CIKMvFGemnlNLoi5BvU7UFoGgCUNizCZwtFE
MaWNxJwYZ472XdGka8VDkiOvBm3q4VveDBIiDl06VfRiLgOOdpIGPC4e6chb6mElj227PbZokrdQ
TtjmhQh69UUTVWwE5cq032itfJsDlU6gmNJ0P4XbOwmh1MN1P7ESc9bCx/QsHwMmlOlVx78IMylc
9vYwTXHlMiM4+hkJDfhGziUsxkZyLtq8+gXWaQ1uS8ji0yus6nBsIn2hushiKuaJWWpzH+YH1Fk3
nuKcMW5FhgpG70Si5xsq7bcUzqIr+eeGB+/TS2dqCM2ZXdxroTYo0fcmK2c5kG9nqVPQU9g1o3U7
q9je0SfIJrWUB5MolOZBax8POD5bDi2QVnEFupigO6gKcCsbtqd9DoB7gUv5sdvmJ9iak/VWkXQW
ZfBy+8g60t32OFOFb1wq2KWZr4xbOVh4GeWvklNCZCInjpUENCj8x85NY2qhkwgjNO5mZj9L9cXa
ar5RpBnZsXxqGjCLu7V+EnhtOWrW6/VxrTbWuASng1X7OgEgQxOTvGGBt1Q56U1rUTRkIVZKk9yi
ldGsC+Wdre2dlaptYZlVz+kDJwtrqqjUFMvTOMFVHhTiuj0Li1Mw6g9dhj+6Pb9Uo3vYKZ5Fhm3Y
kep5CacLIkOa3qE10XQwj04S9xoh/reDkKitv9yziUHgq3TVQkrPAmj1ck9qS/QeArnp0LHoMYrz
u3IMVE7gN9Kll0rMua5B3BSceAoQ69TObWNkBinAjgADgZbrjktF+gWf8aJLNHvUaPVXyU/PUtm6
jEjfOPWMq1K97FyYzUnlzgBs/EgC/ZvkRdlntw4bTNi9ah4b9bERyCMSi2kPYGRMijdPKs365qjO
ZTZgEaYZR7UGjEFTjwe3XxqZc9aGuKqzbVsSImBqwmKShBbpuMuUb3FWYI2yXgJOEnRle1QZ8WaQ
e2Mcte73vHOKb6pgYqul5r4zqi/rLQ+v7/mg0rt9Xm8BA5mA8LK7ld398Iab3n7Hrf29629tHOgm
kCO7YY/C3yUKM3RGr96ZFm/PCnMrk4vNOJRD1e1XhnqOR8KIYZLheL19EzEKLwgC91MP8ytSUsWg
+/NylDqrbD3UXvqVgyZtdVu1MTnJld9Z77wNgS98diNRnDJw3jQUtloa42SmL2/UBz7o0SFTV6Qx
t2xqky/RbD0BlDHyx99Gyejb0hw3Jzef/bH3tZtuoml/w4ouF9ry7S+sijrb9jd+tqzvH/RZs8Zp
fCdzXMJINcPXZyxPu8t6Hl94M2cqKDYzZc44z+AgjqCeTh2oeFN9ldy+/RTGrqd4Pju3pC6jdRnZ
QOn71XW3VKeAjmfOuTWiZTXyJvNvxvjEnMRzZ+XNukVyaSy+rCeIHi6Ie6NhngJQm1A6mzgT6aRe
JPPyzKNwP3InX9NRvZLH/dxYOsv0uF0UV/Hs8u1H3+523WfQzx99K4OW1NKPMslnXo7wZZqVd9ks
+6JMQB9N1hNvglLtLD5K5+e3J9N6iVtYNw6OkEc+ClbumM1nClPp53r89e2nUl8WP18t922mi++n
TWGZPJW3dEbeeFjE8/WXhNYK2kcjeM+jYowez9xe5Qv1B4W06dv3F9N3e1aZEMef1tFWtCHUSKid
991KHtKp1bbHgxSumlp+hDH/cVMSUeWt+2xFHSi2WtMMUb8ipx417a3cLVpsbLRpLleUomZvf6vd
Me7vb7V9mJRigr+RB/XKszCJW3/O3Iv9brB15tM6pMLMmAMUouNqQB3Qea8b/M6LscRCfLbcpTiz
EwsCySrNVmUczjIVgUj7nVThvXHaCm6lEqFBbgXVqhNvBSM6pwvGb4/Ue99ja4LV6VDWSRn3q7bp
xr65Qk52TA/47Zu8M7usrahkrl2ppzjHbtCZY92BSRBVZ5pWjy2ICUGrQlx5z6J75/eC2Gsp9Flw
TNy6pa0hfpL5Vb3S419FMAs1jyLf/O2vtfP1PLvH1qKJ4CFKuad3KxQ7qd9fxPE7VYX3brAVEocw
7rQA78GVTNCmGB1q0Tsz7H5/fGvhb81jz6fps46Yx5wNRminHTWL8JQjwvgItvfUPatH8fHbo4bT
2NuxRnzrZ0sHdJOmVKrHHnVNYTghqp663HvUbpSTYdmMzqHA8oORMY3HUFYupNHnaip29fPv+bl2
xKkdjZppX40Wydibv/d4Ozfy5yF3e+b4RSsraxadciY2cmlUziN9mSjjUTjXJ9+S0RG00uNf8g2H
s+KqP25H7TvRSxXh6a2XsvXeG6k0vdzpySUmWBBMcE8Ao+8cR5PPzso80eb15Dvy+qOEiu0MyYu5
PZbeidDvPYK1dSqSulrSkzarVmiujroJlc3gpzGDenpc33WLbBqfWHNpLv1yv2vjbh6eocF69848
2b31/t4ltuZJiDqIXiZMTTygZnhYjHyR1S3D8ZdmiRUpLL/RsELj6ps8SyfxLJtb51AjJvXUWyLW
8yN6J1LeH8xevZXfy93YGhJbcugNJYSUfKrPzTmeH91smA0n/rEyuoVzN8PZcZktKOqddGPramqT
HeA6MA9nl/5EJAmPycF/Wveij/53iXeyoVGPYSJ+1CucE//rX+DVBDM22t2450+fGvewjCAnK4Bi
xVsTfKHfBCSVH9HVhv5PVx+BvN+NezQFMNXRAKvpTxa9TzBb85MNZEel3Q/EA+GBf6RSu6OxjiwQ
xu6YMRoGdxMP8TwQWoqrRFFhpGeqTW8FHoCQi+97rLrpPqqdq1BqC2eR1i+TGL02fO697zGG8THG
zjYuUClG8ha4y8CQzgZpPZXpwYwjDDtPIuE+Dyrma48dve1k4MVLxEpsqZo2WNabxRpt2oqa6r2T
fRpYF52LlvOoGIJMpg9uyii7GfiSKhiUIm/a4HGNZ6m39tDqNsATJXLloX1LIy6gA6m4/QQRvemw
Tn0YOvig1iaOqBLWqB1coVHfI84O6pwKlrDXaRr5qhGWqnAyWuGxWjk6NbJ739XCuDWFE2smPFlz
4c5aNyggyfeOrUlw62DuOO2Fm2sNJRj9VG8JXGi9jITnqxx30zRBN1cWWhyGUOXAjwtFF6HUoSPZ
4QvtDkmoeIA+O8MecSxsZCmyYuht1l8KP6c9hQQITkhnmdAEwVT+RO8gZmhCLwTBkXqSCA2RVqiJ
OMJsMczr0wzFOVTd02hG53GeFcaRgRhJjCiJE0BOWbcwEQYK2pZQLumRMGmQMnGTYTUIbZNaqJzU
QXEdIXuyRoRM6C6coAKFxKzQRuFQOZaEWkoqdFNKoaCSCS2VSDWXAeIqoVBZ0Vr0VtTBneY6Ciyt
lN7mQpNFlUvEztupjlgLhGrkW/0zEIXHmlBzIbwe5w1zZi2EXnyzGsFtVsZyg++xLjAKiTsukYfJ
c+3UMrxwBlQZbRuhIRMqlEoRlSkC6TwUKjMDLsgjQyjP1Lb5WTXVU4dmx7ToSSt1oVOj3ivWCO2a
SKjYBKFsQbdYT0u3BCiM0k0TJKeuvv7R52jgRJI9d0tUcYxK/qojk4MKIX2GKEAyCAUdGykdt1VO
FKR1BiR2UF/7WQjNnVio76xLc+nmvjIaTOOkqssznxq2dJGmVjTc9V0ULqxYwEGyrwjf5GPg0Mcl
Kq+nCU2co6Byvqch/vJGAdm2Hxc5SgyDOwNKiaJPe+RU0qyQ1eM08lZ+mh51QblK0ui8SWh9U9nH
I3Jdt0tzbfwaTKkGRNlq+tyvqYOOoBEPl6o5nLo5oESFDuUMa8Zu1Gom99XnWVTMWwFlBJWwaME2
Fsb3UkAd49q5SgDZ0UM9LlQ8luLKWLagI91sOK8HpHAaPH56o74g2FGoryYwHmlB+uTVa7CWWlmd
QEVI8ZGrjlPQmJD/hQfr5QA/bWQKwKYnoJtqgeCrHuMD5LgK2EUB8dTIm+kpuYtcwD9VAQRNBSRU
qpk5SYb7cyIAozGnBmxxri09+ZWCKI0FtBSVj69DQjtIQZ+6E/BTQwBRZcGHhit+Q1d0fYIw96kv
ONO9LJ/HgkVdCz51C7FaEwxrGap1LTjXsdl91gQLW4OODexjhs7ndQ9NGxrgjBYL7V7B4LZ1uNwd
XmWJYHdjyYooRz9voH3LWXHuQAOXTeQeBQLRgCAeCKY4pkUL7L2cIwsSuV2vJ9yZLr2jf1EEz9wT
jPOBFtY0Eyz0XFJPO8FLtyCogyVd4CEE2Utw161IhcYJ1Rq5QRUfwgpAEEz3Kiz1sePnG0+w4CvB
hzchxgPy/+U6tz50+RLafCj48ypLUBWM+gpqPTa2M1lw7deCdZ8J/n0zwMRvm2DuCW6+L1j6PXR9
n8vZgr9vGCivQOj3AjUEew/HXxdsf14ovH96X0JzVIkzGBhCG6C2k4XTCbUAu3CXHYqSawmoPQYV
aMrSMbF+yOXgLwnHI1cID7h6N5O8/FJFkcAU0gSuZ9Z4egiOJLoFdPVx/qDDUQhJgybPSe3pVYIa
u6xRPUAPFolWLZ/X6CEYYbZqhUBChlKCW3Wf5T6d0jXvZ1BTjlM0FSSwbeBj+nrWorcQOnUHxMm6
iD0Lkl00aA8Z3n/yKePNfIptLSG5eg2CFH/2dy6lftIRC6aHDuvXQSj0WS6lfTKfqxI/8pXw+QQw
71j03bGjhn5N/v6USOEoalmybKNZTHv0H8r9w7J5cV6iCIwLo4OTmOrwfzzK1klBgkhj5mj+nycK
qL3TUq3ZdXvhawhyvW9VZ9R1TQNzx8pu2fB+DCn+XJ2UXOIxx9Zp3fQNivdZ7S4KEo488xPAX0Y0
qXVrJVeY+KFThidPBjxpnSLRZ7i9N1OBRY28zF1J0jocN41XjRHGOyv76qck1PwNp/2poxU49TCr
qx2cAFLbP+500Yt2glMJpcdCTo1J6mkDlhkmpnzoHNA3LH5KKdLoRV3cNH41A3eBVY1q30idMvPa
CgRM5y4sq1olbLqjEMTJyMjb7yjCX0VVH42DULnUjOratYlc0KRtZNo088z1WV4koajvGWExpSW0
sawhneO2gqAtVry+r56leg7KZ1DBkln5CJWoi06Vj2LZuNOreK4V7abU/WOEI7A0QMi5AyYOUozf
dhaxXFxDaV+mHWBrWOjXaWleO8GN1hJ4de22dJzbQi3PisH/ZqTdbajb8QTy2UCmaZ4j2c/GZbSL
2INZHFQSuCUJSyWypcvS11Z1Jq0GkrBxIGNR06v4Mhm5HS8Dup8jQxFy7rJ+LhktShHlGoUqCU0U
3AyOA89054FUm3RMo1Mvr+WpXXZXZikdqW1ewOyujuwUp0LZic8ygBGAmnJ7WWSJioWbUJUM0knh
g8/LEFyah5ZXTAIZRS6zWXdTo76HkPFTq1cXhdt+XdsW/KX63JRruChJO4YIkM8LqLUdKF6cU8Kl
ik0A9lOtO0IqH/ksuVji7Qw8UpXWc+S/1+M2bY5lS155vAp+s7gJcNE2G+O8deWlG1jd2FSDOWTl
q7jSF44COjQczKsK90M5dr8ic3IHEEYahwMioUZt6oRiBzHBerhOgjybuCqMayv7BnAPHeCyvZIc
TML5U0hzyNVMtSa87CVgAIgDkN4r6a+4BNnup9mp3jtnoQ4Is+o78D1pe1IjEzrtbBgTFhAb1kph
o+riqw+eVRXYwBCP6U21xjlaLqGrakWJ9W0YgLADn+FfATOImIG+NWWtAeJtkLGsrGqewAynSV1k
i05R12MtlY8hX5/qSOVP4sDXJtjxXqAPA3ItyZGzVOOVLwxLMQQyEflCXLlzB7Rw0k2I3pqYa5e6
diT1v0I5B3DrYkxulVOt74KJ52EvqacAIK1fsiKTeVv6r2KQvzulA6k5WmVQ8FVTsbCdkLyp2dMX
6eP8s1eXm0jHI8nvlxD2jvTaASPIqYndkszIZtcv7P6XWhY/XKk+btPqgibHaYUnHt4R1WQIu1PN
IUdW5CYcgddVRwH03lHteIgAVNWvTLh8Rl0rBJOsjZ8XP3BaQzY5BZChpkilQ6rEq7vGKRLbdJvj
Hwc+BTSW2Re02CPztlJsAIomiAoC8nEpFR2ZdV3PvKE5qtZaM1YL97PpdZvAN1xQzyFnobzE4cAl
ESl1ehox5AkPRF3ldZeVkWMshhhM1CELg9U7QqeJUbDoUpaEbULrxrcg7darVOgh6PWaWojkXq7X
YAYz59JZ6wut6+2xmThomPfR53WG6I2r5DO3sqProsX4ct1CEUK1VyA2WNhG8A1GbIUiRBvOCKs6
7GjvpkvwRa51HyeN5IiA/rnX02aRcwacsAFcZDrwM2j3kwYc6dyTcV9tSg2LDjP9gqHakbc29XGY
Ryel11z4BrRsFRT2GogQaIMCUVQ34m+b5tJAR2ExJPUNJ6965GTFeoTUvYe5Vy7hCyL9cnSF/cIr
/LntSBc4u9+YGms7jyybXFrIVHQuYA1s4lcynPtRkebXEFXX48rG5zTu0QLQVHDoOB4K7yl1bmSJ
DNhYrmZRld7ANf8Gi18fI5k7gxSPKS6vHBARWuWtBhaq6mDy4IPDmDa+ueTICqtTR0bJ41StpQY8
dr258vrwomVPHFdCFsI3SvQYLMMFL9sz3WwrnNQB/2ZHQspeGtpJqAenPf6hHF/Ru3Dlth1JoXll
VP1cGOUaqXEeuNldRw6LJHdwjfgOJ+lCYurVyQn+P/nKMoZT9n+gG1YCekxZVlFWjPVerachttbX
MFyiZYkmgKay8KNE+yb1+hmVoJ9tHs2cdXDFZi9jZYszNvv/svTdM8vPvzhDuNCkssVpuOmEViys
Xr1drA0NodwezHmjU5WFujNRLevW71IJ+HLqAk7Khlmf2p+VdZxPDQGvSUDWT7MMwDU0/vVSLvqN
SeWT99moszC04eDTo7LX0pHvuhssMSduKHnwcrJ5mqf8vZWdpyH8ndSRXbxFjNss6MCyVf53XfZB
I+XmuVybX1PkDNeZMJxztV+BjLG31qDkoqrA2+wObJdpIXxamfglyClW40mgoKvh9wAABuW7WTYr
aiT+FH4aiut4F0+8HqH8wELByZSCjYx7cgjgdVz564AjOv6/DaIGelXM+0EHa6kJfXM5XAQk2mO6
fex3FeeDXMXLLA0KDFgd+yfmKh0ugW4xo0AhI0rQNJNU7ik8DCKqmt9iBCpHrguDOc6lL17RXhUO
hYLEd8ZpG53UJVhqt7aRLyhTpMh077IysR5GN3VZuzXwcRmVmqQ+d6NWWItWqMdmUo1cLusJ1ses
c6VoQqVgKZE5CSK3PG7V8iZzYyFWw7KHOM4RArIeKJIh9+9aDnFSZv4yZemLhBDVxIqFGpgTItLI
eRChudumL44ddvJRbxm3ZWPNIW4Xk8RVsB7SMMMbGkR3zPCbG8flGMy8OrZrUE1SPHPXN7LtnpAY
4OKkYyyr1MFRZhSKgACjfeiny3Ve8DM7/O7CFR+hcv1FKSiPZbX02YqhAapxutSd9ltHzjUyvQF5
tCxNpnkFVpzjOif7MOfr6NAm7LbQp2mqH9soaNl2z2HdwheadfcL+x/89VrOwm6ozeSmvs4alq5X
KBcIOghZXu1UM/1qmhgBLvdhdmn6vCNQvPjbeh1xukhOO71IZoWJY51d3QYxnTcUqb/lHUL7QPKv
8K8/6vroi4qx96QtCamWfENPmMnfJtrIqax2kkb1SVYWs0QGcoNuNRLBsFSYtcGdQ27sNahnZF1y
N8TF0eCA48cVeamqybWPdgpslaus4fRbkuVZIaEPn/J67DmtRSXT5yFray53xS/TI6Wz0g4OPjlf
E6CCGQXXIMyWAMYmXphs1nZ4E1T1ma7nR7EPSNEFbrZG9G8EunUBl+Vz5ynTzgDwu87Ty65EhFN3
lg6S4rkcnAMhHCOw16NR4029tZBsak5gfC4xCh1HhtyoR2Wg9OPctdTwIkoG87pPfZMev2Q0/INR
Zc2kF8djI5Me4D//OYPqdGjfqOn7Jd5Iaf36ECr+7u9DKLJhOmh39CwxkoPy/eIQiu6/zFHBEZK7
oun4dA6Ft47+riGjqQEZ756k93gO1eVP7Ivi6EjOJFoE1j9h4in3Tf/fHSJxDkWA06LfDKkP2WFh
NvC8oA+/Ahx4YabnXSFbs0TsQjp5yGhgc/Is7C1QDCfpkVuZ7jcbmxzFpA6mb4XLSOyHfrwuT9Hz
pMyhafllQOK+gHhXrtpwnf3MKsGHEvuzF1k9soxKj2gWFF3UMRWpOy+LuDrLA0DTkmxCWIN3gHLt
WokmQ7JOVqGbOT9tiTypi4wzV1E4AOEyMB9sM74iFTG+Rw2ilK1q1KdV6VlL4LCoMFi1FM4Uo0+/
gs2G/6uV6h0kmejakKNk4RqlM0mydblpUICbejKOL1aBD4wVtMVx7TXZRSuSxZqDLDXEbNK0it6c
eVKiN7dpiR/AsUJm1EPpSMMafk9VS3e66wTeytOjOh/lGIoUZ5aXobLvKp136WHOQUiqiRFDRZWu
XZF1kQnKro4u0SyNWttKRlEDeWZiqG7kH5tSIvUjv8aDJGjUPJ6qrYN73br7braRtkHCxEhBEpvJ
jFqWcdTXZn9ZtemwEW0bQNqqLwOPxT3QdxWHTbxxb5hJ/lhOhmGzLr3hzvS7axKfWeL6R5KQ4IoV
sxm3BicXKWvZMm2l7uchpJVjQPP9SZh2GZVtJ0RINE6laOS3rg+6u8JDgfoEdnph/k23fLRDHeVK
C3NvkUk5ospy2+DiU4CqD0rz0gaKv6wkfIwzOTdXncMhB9l0R6aGaJDllnJ8VzaRcyNZrXSkRUhv
ZF18FtiKNCmqpps3EkKl0zbK82rSrf3slyWl2Ndm6+Szqdjl0pAH84eLKedkcIje3ToE5B2QF4J7
CL5DtsN5bbD6kzLEKn2oO+mYyYujoJW0Z2gHrK/tIW6vEpFe1GmHFoDfZeeeSEwSeC3RJOGsV+IJ
hEgzKvW4i5WdUU4QHcDqxU0Mc6E26h1WZiM90o6srtUukI+1MWpMTeUuE8lcLhjYTlaao6oFvXof
gv4/iMWPjyhan9P7zudFfVf0n+9KDjzlk+ih+Ol5yinxS/rv/dLbF3rsuX7pM3qum59o3078sir8
24qw9tCPXf78r389KIwolNxeRPf7B7t/6jevE23I5uuf3EEzP2lk49CoEUy///zrryhlxTz8WFKg
YQMPdODegsjgXs/G6E+j8PYXfBjOt3/nzYffHgR5/0FwaEs7Ks1lQ77/MNQvBkGIsABowpnmYTs9
wEHYrjX/85lgf9IQsaKkyXi+/PbyJ2aI6gDouh+dh1v9H4/B88VgMHf/jYXA1/y9DpDmNlDZoZT9
MAX4ki8GQawDxQLTT632cZ0c5GpQSMH2DglALTTYdI+rYXsoVBRmTexd7qETBzgIYJr/nekgFv3z
+YDako3Mjfbwuol+L+YDIQHBIxYMf3aAY2BQ2993IpCnGxaYHFCbfwyLmg3S01bBrx7kIMigxfZc
DfYnzjYGW4OYVnxYXy8mAoHB4mMwVIc6CNtnwH9nb5AV2+GMh5zsrkFgNeDDYlPaeAg//8ebw45U
Sd57OWh42xAYFdKlPywHZGnQihSn0AOdCaJFu+dy0LGwENjuP80ElgOZgiIjtHOggyCo6HsOgvMJ
jU5Np/Lwh+WAOwjZBNp8B5Er7VgO+IvsOQjsDjg96ej/PawGscBeBEbSBADdOCSbB3ty2H8QlE+W
oZMdi+goPq/SBNYLWzFpwqHmCfLD23ngLP19uP1HZ0gcAgCnIPbwMAYi+9qeCewbKO8KNUo+h7oo
HkPWPkNh4u6tmAbM6cex2BoKkS3YCHLaghJykCmTsAraMzyqOEbQxbyXX3gxEZBZxmXCvrd/ux+f
Qx2D/ZMFQOvY4LFL/KGuIrw4ZFU2lYNNFuT9D1Hsk0JoFn2WrWUg8kUHjgCnzAOdAq/Ae/84aWaD
tKitsRDMh1jwam9QsUQUOryCDH6QsUCIEu4XC8QgoJSk66+nAGrssDmQKX7cOg91DPaPhyhZ6hq+
blTQ7j/M+RdhkdXgKIaCiNGhHhyUhxm6z87IpsCGIAx/HgZhO11UjE8whtg5qUGKz8GuiYeItc9Q
sDfISJfiNfCHJEGcNB0TuO+hnqH0jxgEx0K7FafDh0HYrquwKKhFA1N2DnZR7J8lGJ9gRItz5MOc
F5P+RWQgXRSFF0hvh3qGejzX7LMcrE+ajIsmzph/mAmcNAFPQo7RDzsy7H+S0j/Ba0FR+Kkbt70o
8FeGPkmfht3kkIPkKyrpP86eNGYF35Mt80+zQvlEfFQQWjrUk5Rglu6XPTEIBEkySIz87j/b84Eg
KQSiIXwc6k7xGLj2iQ9UFIHaUXN87EdtZw4cpWA6MBEOdqcQ+jZ7zwQabpwm7Mdy246dAtUxC9MP
+WGqHGg6/VgR3W8+KCJxguJ0HwNfbZqqRs0NaDrirAc6CI8ha49BgOZFoYnZ8NSffFVzUz+ZtK3A
3z1kKYfXkRESIPstCgYBx1IEP59yyFdlBjqYIBaRVT3UQRB6XPsNgsY5moYMNbXH0+V2eKToplJn
QBruQFeDuv8YkBbRgP07g3xVhhddKQ4TGEkc7CDsX2YwccUwLUuDonb/2Z4I7JP4QdHQP1jMgrb/
sdIGs0DDHq+sh23wVdFNxAzxP45d4nOoZQahZLhnYLDRTbFE2+UR0rRjPlCCoB6jPgzVwS6NhwLA
HrslrXtV2KnQj71/6a97laB5aFWiPvMwAw9vt3xsE+w5CAazQUSI+892CikqLsIbE5e5Q90pHk45
+wyCRhmSQYDJ8DDpt09UwgnUAOkI6f5AB0FY4O0ZGSw68zLNF/SW7j9M+hdlJ3GiEjpNuBwc6CAI
veg9BwE1BJQS6Fo/tmpf7RTQVIidsFoOtcAgfCL3HIR72S2LMstjm/LVIBAYVaossGkPdSY8PNh+
McGxZQM1hofV8OpASUxA7VgGAn+oW6S2/xaJZei9JghZ8sNnOyYgRYLBp2E/zroD3CL3Xw4OMEYV
7yDYafef7d1BpNB09RGvO9QtUnuoeeyzHCg6UnLUVV73/WdH3oh5KWPgPBTkDjUyCDfBPcOjLua8
KK/+Gc4DQ1vT6eE/LRrueHhLQxAz9xwKgwwZqQ22xIdZwVt/mTMA9yOAgnk81CBp7B8kiQ+AHkG0
/AkCDPCTLr5QsjzQ7RLby31nAqgeU9bAbTycoF8fpuRP/JBlw1FCfA42PuwfKu1PuE+ZHC3/VHK5
h8KZOrX7A50PQk93v8gAxAfMhknj8g9BknMlYGmAbrjOHfJ8ELYO+w2F6Nfh1qqzN95/01eZJJho
Fo6CuvehxodHQN4++QOUUk0W7/oPg3BPERC928cBP7ztUnj27DkToA1h/iNKStv7JJ0bbI3xnPoH
cfF/MUR/E5THHna799Rk/67cxWD+0y88cXJf//wZ8fiea/niNwVV+eHmD8xc8d///ZK5fJ8RPfvp
U4Z0f6fHv3/8iq9v/uJmT9/r6R8X/l2xKW69/v4H/eODPihW/0+EcPXPzXOmqKBNi8LP07/tpln/
/erfvjqChHdPF/rNyRaUs99f9TWH+3938XjzMy2eLvTs4syZvS8+qqtq14NTBdr72uNNtGl4JeXT
tZ49OyFv/+sjdlO+eqXkGeyvH3DxpCrQOE/LatctWMl732JyF/21Soud4096uvf1p9Ffk7Rg8jxd
69n4k+7sff1ZcVcmuy7OAWPvi8+juyR5us6zB/+I5bqo45s0+lm9vrwAOe/96Ms4uyv8TfR0qd9P
L6Cz+18e/bqnyzy79Ees2OO7YseYi4b53k997CfujkAgVCv2vvbJJtwRwwSr5gMuXZZ3u8bkIxbo
SVr+9T+Jexfd7RqZj1iip5ufBOCncXg2Wz5iiZ5ukC3ece2PWKLi2lm6K7oL/NTer/X0LvmZ3vq7
opcAJX3A9Yvbu59PF/o97gIhu//FU5796TrPrv0Ry/Q03TkmH7FKuXR1V9z1O578I1bqapPtmOiC
arL3gK/ums3r3NGQBZ5x74uf4W7r7ghfwq9474ufR5vbux25o6jLfcDF63hXcif6cXtf/LNP6lj6
P3eMjLAF2vv6l5vbgiNBUu3YSwX05ANukPw1ukPWfdcNPmKpYsLDDYpkU/zcGcgEnOxDvsXEv3N3
fYmPWLXiS8xYAbd+ebvrHh+xfMU9jtJNXu/arUSP5ENG6aT2y7/Obvwy2/U9PmIxi+9xuqnudl3/
I9Yz18fVabQpbnb7On3Esn64x1vOUfdia3ucxR/vUNTD04v9vUUKqtL+L9vb7DwTCpGd/S9ODWNX
wiZK9R9w8TclPvce+TTa7MoeBIRo/2cnMYl3bPDCVnL/i1ebxC+jTV0+XezZnPmQpSvKLDv2Yf0j
1u2XO2+za2hEOX/voXnbmmTfKfOlxkNuxxYvKs/7P3pNgSjeVZcTxea9L/+VK9S71qpQ1tn76t+x
jnu6zO/JKIrR+1+6vtmxkERH9J1L7yrL/t3hfl2sfVJ33PVnL2vR4jduo7tN8d//DwAA//8=</cx:binary>
              </cx:geoCache>
            </cx:geography>
          </cx:layoutPr>
          <cx:valueColors>
            <cx:minColor>
              <a:schemeClr val="accent5">
                <a:lumMod val="20000"/>
                <a:lumOff val="80000"/>
              </a:schemeClr>
            </cx:minColor>
            <cx:maxColor>
              <a:schemeClr val="accent2">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95000"/>
              </a:schemeClr>
            </a:solidFill>
            <a:ln w="15875">
              <a:noFill/>
            </a:ln>
          </cx:spPr>
        </cx:plotSurface>
        <cx:series layoutId="regionMap" uniqueId="{37A34C34-7300-4678-B05B-C011D6A16253}">
          <cx:tx>
            <cx:txData>
              <cx:f>_xlchart.v5.6</cx:f>
              <cx:v>Amount</cx:v>
            </cx:txData>
          </cx:tx>
          <cx:spPr>
            <a:ln>
              <a:solidFill>
                <a:srgbClr val="4472C4">
                  <a:shade val="15000"/>
                </a:srgbClr>
              </a:solidFill>
            </a:ln>
          </cx:spPr>
          <cx:dataId val="0"/>
          <cx:layoutPr>
            <cx:geography cultureLanguage="en-US" cultureRegion="ID" attribution="Powered by Bing">
              <cx:geoCache provider="{E9337A44-BEBE-4D9F-B70C-5C5E7DAFC167}">
                <cx:binary>5H1Zc9vGEu5fcfn5QpkNwMypk1OVAbhIsmTJ8hLlBUVLFAb7Mth//W1KsiOClA9UFdatw8sklbLB
Hjbwofeenn/fdf+6i9er8l2XxKn+1133+3tVVfm/fvtN36l1stInSXBXZjp7qE7usuS37OEhuFv/
dl+u2iD1fyMIs9/u1Kqs1t37//wbVvPX2YfsblUFWXpdr8v+01rXcaV/cW3vpXer+yRI3UBXZXBX
4d/fO6s4eMjKNFi9375Gfn9/U63SQMerWr9zsjqt+vfv1mkVVP3nPl///n5rKfL+3W/jX9zh7l0M
N1DV90BM7ROLIZuaFkWPH1ggzlL/+bKBCT5BiDBKbf7jZy9XCVC+jatHnlb39+Vaa7jBx//vXWPr
buC5/DHpedxtnssGDR+A+f39lzSo1vfvgMVqrd+/C3T2+ODK3sk2N/3l5vEp/baN53/+PfoLeG6j
v3kB+fgh/7dL26j+F8Qvsvvs7p8Hm+ETJpAwBbbE48cag41OTEZMJjDdBnsyQ/tx3iafAPE2wZGh
+0cMAnS/+ufxBWHmiHHCLfqErz3Gl5wQmzDbAil/UiFPsvwGjvYDPF5gAsRjkiMD+SquwbwcAGNx
Iqhlm4TiVzBGJ4JxEHJqboM8naP9GI/oJ0A8ojgyhP+I8yBdHwBhfmIBeBYGPfz4AcO7ZZKxOLHh
Y5o220Z4Okf7ER7RT0B4RHFkCLvr+N1lBs7fPw8ymGLbZLZNMH9FjNkJQYyCqh7p6jcxtR/n3SUm
QL1LdGRo/5Gs7rPyn4ea8hMKJhcRDuK6JcgEgSATIigSj743HonzZIb2wzy6oQkYjyiODODbLM4O
Aq9l20wwBPZ2G16QcZvZGFsjYKcysh/WLeoJoG59/8ggdTII+zaetK4O4U/zE7TRzxD87rfEhJxg
yrhp41Fw/Fa+9iO9d5UJiO+lOzLkv0L8Uj9CD5H/P5oRAcPLEafoNdDB/QKVjZGFRqC/gaX9eI8X
mAD1mOTIUP4UNOtSB/cH8MAoPREcmZRaT4kvBEp6S31j+4TaNiLYFtt2+U1M7Ud6d4kJWO8SHRna
sq4O4WtTcWJiQsFAvxJQQY7TNJmFIdm5jfRkhvajvE0+AeFtgiND92aVvruAhOwhfDD7hHGIpiBs
fiWagsQX4Ri8tBHCb2JqP8q7S0xAepfoyNCGgsYKdPdBUmD8BAuLYALaeX/NAp1YHAkQeUhwv8xz
vomp/WjvLjEB7V2iI0P7cpUfxv8mAvLVoJefgIaqxJaJBv+b8E3kxUdJkqn87Md4i3oCvFvfPzJk
L1ZlkB4garZPhM1M20TPpYpxkhOgNSnmli1GXvZkhvZju00+AdxtgiNDdw712PQQBtk6sSm2TBM/
VynAhd6S3E0Om5vwDx5VKaZztB/fEf0EgEcUR4awk8W1PoRuhih4Y2KhTPGKESbQOMCpJdgI4ekc
7Ud4RD8B4RHFkSEMriQkv+Sq/L46UD6EEbRRxK+LsiU4ZRiwfvxs+1xvZm8/6vuXmQD+fsIjewfO
oVvpEMVm64SCl00Ye46r9qhxC66BgwatBi897ckM7Ud7m3wCytsER4busk6+Z/F99c+7YQwqUNzC
jJGdViB2AnULiqCbZJ9Uv4Wl/RDvrDAB5R2aIwN6Fr9zsxLKkP880lCFtImwoG/kCU4xFuVNMVII
DNWMp4ToKFHyJtb2I767xATId4n+BzD/NYtbd73pBPzjh+7c09D59n5O6N+zLDDWT24ZwDh2vC1s
ExuzZ3P+47efOsEgU/GzD/VJn+/jaT++L2m37vHpFn/9UP7nejTBr3gn12W6Ku+Dg4RQoIDBf8ac
PnfmjpMfUJ8gkPsQ4/LE2xnbD+cr6+xBduuvNg3L+x/Nkb0Ai3idHiIzAtUKgkwsdk0yVJsFx9Cs
Pcp2TeZkP9Db5Ftg7m/A3iY4MlhvgnV5kDgKcLUQBX+KvZLMRCdwESIt/hRRjwzwdL72ozyinwDz
iOLIcP5YrlL/MHVlCJUZ59Yr1UbQ29yEli9rU3F+GTNN52g/wiP6CQiPKI4M4U3mNs8Okvx6rDcS
G+oOr3pZwmI2JzbaFz29hbP9WO+sMAHtHZojw/s0yddlsIoPEDwRiI0INxm0/Tx+dnwxE5S7Celu
6PPcfEaS/RbO9uO9s8IEvHdojgzvi+wgfjc/IdBaD2b4OVAeb6LZ9H8RzgWI9rb+nsrPfoS3qCeg
u/X9I0P2NO0PkQKxYHsUAecaunV/aOXt2HjTWCAsi/NRzXEqP/uR3aKegOzW948M2U1o6AZr/xDw
gpLGUFEGRT3OediQy6QcQunnNPa23L6Jp/0Q7y4xAeddoiMD+xzSIwcwxib0ZT528z13bu5JcW3a
tjGULraBnsrPfoy3qCfAu/X9I0P2MzSFwAb0fx7cTUECcAMxfi4mjq0v9IVsGn6g2Djysd7A0n58
xwtMgHhMcmQoX8Wru/VhdkSB+7QJkp+T1GN3ejN0wN442+SnoX4ZKE/naz/SI/oJQI8ojgznD5l+
9wckQ+L1IWrI7ASZhFD+o4a8Y53B4Yb5ErBR6qmdcyTXb2RuP+L7FpkA+z6yY8N+FR0iCSZOYPMq
AAp7Gx8/kLHecrU3ahyb2OL2qEX3w0R+XsH5JfUUgF9+/8iQvViXdzAExTnAyBiKLGH9jJDHAg2V
ZMaxAHl+ynSPBHo6X/sxHtFPQHlEcWQ4f1hpvT6Anw2uGIMZBFw85zjRjpWGNnu4zKA3bNvPns7R
foRH9BMQHlEcGcKfa2jiTA4yawLasDlUkRnMBXr8jGMpkGUoWWHMCaD/0gd7C0/7Ud5ZYQLOOzRH
hvTF6h72zBxAZ1snsGMGCsfQcP8azsiCrczQFbKN83SO9qM8op+A8Yji2BBepzDb6zAdI+IEdrgJ
YdvPVYodYabQs21blIqRwr54C1Ov4LyzxBSod4iODW2YT7Au1wdIlFDrxLJh8ARFz5vgdqwzPrFM
i1l0POwLCgeTeXoF6/EKU6Ae0xwZ0jeruxLGuqXVITLb/MS0YSYUg02Nj5+dpNhmsN/mH0iLbj4j
j/ttvO3HfM8aE1DfQ3VkuF+um9VBZvlBldEiNsyheLbYe+QbYdhcw8Qogp7O0X6kR/QTUB5RHBnC
N5upBIfIgoK5poTAPubnTtydOBo0ODGhOX+M8HSO9iM8op+A8Iji2BB+7FeFgsYhdDcUnU1AEZzv
n7ns7UwY6G5EEGzCGMnxpjwo11O5egXp3TWmoL1LdYSIf6gD/e7j90Dnh4DdhJ3pxAIFzR8t8s50
GQisLahfwsyRUcC1gf2NrL2O/b6FJr4A+0iP8C2YQxvoXaDvsh9h7579DpC8futQbRtgt6GP5BWZ
JyewpxKbnO4B/ydHU9IAr0O/u8xE4HcJjxD2s2xV1IcabADVa0YA4MfPHr+NCNhRKcT+Nm8Q/zcw
9zr+40Umoj8mOz7sN5MC48NslYaJYVDHhJrXs9zv8ehAJ2Bw2kd74kHpv4WtV1HfWWQa6jtkx4a6
Wh1kQCSUSGAIM7SW0dcmERFIn8M2LnAFftiX59MTJnP0Ctbb9FNg3qY4NoSfBKishylW843mHJLn
NsMM/Tg2YUesYdQFdAQj2NMxQvlNXL2C9O4aU9DepTo2xAMdBX1W//N4b2ZzU3DOyI9jFMBJ2w7Z
yIkFA9pNqJiM8H4DT6+gPV5hCtZjmmNDOotXB+v0hya0TRL98bNTLwG5ZgK24+2E5pM5egXlbfop
GG9THB3CaZaAW/aPt6rwE0aFBTPkXiuSPPaMWwwKnyNJhr0l0zh6DeEt+kkIb1EcGcKf12o17Xm+
zTaDBwZ7rizoMHxlOtFmRCDMJoLprk/x2Kg0Mp2v/TiP6CfgPKI4NpxrCK0O0VAIk4go2mD4SqPK
41TuTXBljmzy58kcvYLwNv0UhLcpjgzh2/r7ITT1pncBwwZK2Fb3+NlpGIUZzdAsyiHa2tbUU/nZ
j+4W9QRst77//wLZ10+k+3nMn7uqVrPHAwJfHEr366uPDwfONhyRPnd87U+JPnWDnd7//h7aTSgM
8kQv0qSbhbb6xZ7OgvoB3TbVGqLz39/DWYPoBArcj63gMG4OtuG9f9euny9tKtw2twUEWpQgCmo8
hZN51O/vN22KcAnD/GcTFL296W3RWb25tBn8DbbfFGAdwMJT2/x5iONVFvd+lv58Ks9/fpfWyVUW
pJXeHI0IN5Q/fW/Drwnzw+G0FgI9ywI298PEu831u9Wnzew1eAj/hyk/TanX449m3FbRMmgaIgte
RBehFzts0NdcDd887UlSVPGi9cU3I1BaJsqTZuYvhBfnMoi6L2WVqxnNymuryRaw2+W89nzHSrpT
2ml3qJdmaNxmvn/m+XPF/Y84FP5FFmjuWGYvXBsPnYy01UqrH+5jJkLZ12YkmcdvbebFM06Nas7a
6nbIkmVLqO9Ss7kK2orOitQI4Do6H5qul4TSCwYDKWRtx19To+5lUqJ1kOuHdiD33MgDN6sj5ZSk
u0l41zpRx27b3vhWDsyS3VC4ITQJO80gLlOr788NFn2ycN/ILk0G2XmhC9t84IuefjC9msEX9V3Z
YBeTjLghCQLpeYy4iSoLOWT0DkV/mv2V0tYgNXICsy2XViiU69lV6ba07ZljRqhLZKoordyc9u1p
qWklVjhgXjMLujJZqrRRjujSaImCvpjFoVHLinX5DHllK8G+dDNNeDxHfR+dUtKU2LGCspG931bX
qi8w3FhcXjcZDRd13hQyt2N4VNrzpS4ZkqoIfZmkEZFJYf2ZDSWRbR21M1YyLrNMR7OqVqbsRJbM
POGZC8tu+2t4N5kM6xC5Yds4KrOyMxEPifQiFlx4JgrdVtT6TPmNvehKv5cpg7mebkECJQ1FvQWO
6gciMr4oVFE7ReT5S2wZ35sK4IMRbsWsaWIqcZGGMtBGtmTIWgsjM2VdtO0szeFVLQU7jVGtncwM
4ytO/WiGdWrJyOiDmcApW7CY+rOo0eaCq2KddFgszD5WsiiN+MoeMv8MntwgQ69NVzyzlSR9gJYe
YvBskIFkSppIUlxFpYttO4LXyUi/533qy0wHRGpTK1lxozxv7aw999u6XAilApnDIKRFXlnxDMBj
0tPmQ8BsJlmvHrDB6EKj3lASDQldhCJXsuScfUdJEEnlJUq2SWBLPyktWeSsmXl+iw3gMrXcMK3j
7yBz/lkZErRshyitZirkA5p1lHdz0Zhl+BAnWb/kUKu7znBRuITb+rzyBlSe0zxwStR9jg3suzGK
TZlSEc2zuPjaG8J30OBVMhNtNtOqc8xG3xp+8Q2yCYP0uGhnKhm6WZNkmQyRnUi7D7/iNLsKCx38
1YvBlkT56kNfcy5ZXsl8qK9BO3FpWnEAx7zYxamorbWKm79q5M1bnyunE8ZDG1baMdPglhrhWczi
PzurtRdUG5YTJ+VGiYgLeBSndSQeMpBTo4b3okr4Z8TNqwKrsxx20sq0zC5txO6IJb41sdG5uOyu
qqHkp7wsl9mgb/QgvhTK8maoSpRT1OWsCftABl7QLygZQidMOyZ5kp63vnZKrj75qDSl7Xu5rGNa
nJtoWHVhWMg2JcsgU2eR7X3ktL0wOlq4PRUcJCUoZQovm+yDOJUsFcH3kKfpX1ZUhUufNoG0WU1l
Vwh2BpPPTMmsTEtmJt+FNkFnoTqdWbS4ylrjxtK6XYRRFJz5aQ2inPn5LOpbDiwZldMblTXPO9BJ
Xtb61wmUb6UGcbmuN8IzIM9zy82PVrmpZqEXiAXSefAp9svc5UQ3EjRMvdCh5UvD7MQiZ7ifDaHi
INp+DBrG7hdd3YczTwfUDeyEzcQQWtIqzQfd+4MbseG0r8KPKC3OExp+MOsumdEWkQVtaTyjKPfm
EdPBXEEj7yL2POwylGVLYnWmG+amDFQ8OF4QkAWhHaj6ELhVCUgtadtMxin1paXiWPY5aClUeHjR
pnCnZtmYS9V0vqxDbC2MMFIyTLpWFn7lO2kSMwlqqpYvz83dMqF3Wd6Xga+ej0L++cf/fM4S+Pfx
IN2//3JzkvLff1qss01SXI+/tHF1fn7r78N4N67Fz5N5Rw7L03HMr3gzv7z4JlcHQbbgZ0V4x9V5
Gje86+psqH66OpBjhAIgnB4F81Upoy9dHchJQM6Jw3QZEzybzfl/z64O+DMQycIl2F1jPhaY/3Z1
+MlmGDNsjBawqGVDG/ePp7CFE/h4e1wdOBR27OrA2QrgUoE7BSzAmO7N9ReuTtd6fmRYHvsYDbnd
nw5WltDvjaKV95FYDk2SCyM0yJJ7duwYtbrpmc9kZLHcTUmNJPasQLZxEc1qUTFXmwlaojYKXd7R
0qmbbIX7wXdqM1gNhe7chCrtlto6jxO/cAovBA0pvua+V83yRDPZcA1+Sz+gZSAs7UY19qSwoka2
RtLMVFnFrrKq8zrNhcR28K3B1nVA04UF2tDJOjdthkVQVK1sUIJkFGbXg99+BSt8qpkGqYozyyGV
4TuiAPctKIeVCME9swoEI0mJJUVMrgiq4ouaDdmcR2bqEi/O4IDv4oF6/qoO68pJDHtW9eu2I6bb
m2CRDXC94iS96Aj7lqd+LjVv8yXTaeKUtM2dKMdK0szgcuCidHDTndMhCGekHNY19+Z11pxj0S6w
3c2hi2WhqZ6VZeaSEDdOFeeRUzZ0XQniRK03SIEkGeiHtB+Wg9nasva9Uiq7cpok+MzrOHXjOF8m
kT/rsvBzLAy3qtLrvETnyqgdLwl8pzST6wYgrROmZqgLynRRGZjPuZWfYVC4qVaxE9jeB9SID2kT
pA6Lwcyegc9eXuMO1NdfYRn7ZKZp5qfXxlD1+SLBaS99FKE/+yEUmbSa6I6YdN4pcMgCUt8JreYw
vNR3Wg6Xg7pdFwxrJ9SdkEnTLateXbLU4zOj7fp5UamH1rBKGfL+1kLiczV017jBf9EyP0PZcBs0
oQBXWdOZ7bP7gHRnLfL7v2JVRDKoctthNHV4Az6fiYplaJbXnoiXdsmND7VdfO4DuK08rgvp+/yj
1+nAAb/+gZmmW6sqkmZkiVll9Wg52A84zNgswNXXpoqVm+TgzsacXEa+oAvTCM5Kb1h0YGzdMmlK
x8jUnR8VgxPX/TDnbZg7Ye8viKFvgzZbZiA2TsrTTvJegd+ph1nlp7nEVnTatcxzeGlc9Z7xZ1mh
MyunGJzo8IvpKX/G4bQUqb1egjSD/1IuYzuyHavKzlJTt1IluVMX3JTKih60qj7mCVs12vtgxUMo
oz68hElX5zlVjbQycZ62MXgmlDZOyGxZKnBCw6ppF0WXeLJSFEsiIGcf8dvBzmZJbJ4i7d/SiOY3
g2FtPFbeyZiYX2xD3XTEkEi0fxaKBae5EqdDV5x7Ps/PvUz/aXXg23L7xrCsU0X5R0PoawW+a86G
yyQpl1EG7+YAkY6b47R2G+J/aiBqilC29OtgUYZKzKJOpBKkx/pLN/pUkbD+5PFGySCN52Dkzq0K
vPL/H03bSxtlQn/iL63azmTYx6D4keqHVcMws3Sz0RvBqbUmmC9Y8GcAz6DNETperE1ACVv/XwTw
UGXBm3lLaDOSFg7EBVv4I4DfHAICC0I3FYcaO8z0eItVw/Ab2/G7gCww7Dm2oOADhnfThPHSqFUD
zfKirrvLtKVi1rSeyiWEeXbkRHbbXFuG2Z+FXZNGM4Si6rbKWPMFvLGukFqkxbcXT2+Pjd1MSB9z
A9NbwfzDNlk4tH0zz+IlNyzt80iourkkRYov/WhIPQjEMws8/KbKhGxaVt/aTW4Eskx4BWYxLCNf
eoO2mQPzFdJ7UVXoI6yhapfEMf4ymAbHi94yvTXuDdzNf80xAX9lh2PYdAI7QoVpw2Twcf4jsBVg
21eXtDN937UgUP7SgMKh88ruIdRs+g6H4PZ6YNBsC+KEPkJ0AYqvx27ZZNW96rTGTmDkpqurIGsg
JFGokXZpglHys1BdRbU4S7QAbwDyhOKrVsV5FLdmNwMv3boIStUki1/f1S4MMGkCwXg3OGoZpgQ9
3vQLT8fuDb818lhfppUnvmY+aFLJIgKvRp7W3VXbleIm93D8569/dvOuvcwl2RAAg16j4LXBETiE
bth68bMm6nyWaz+9TPmAL3Gk6stUl07APfX1178E4rPzS5A2g4EaMOkdcmij9yxPWT8UpcoueY7Y
qmizMl54Fe+JjCANhYoaIgqKep45ITXb5L+9NOOkGdwl2UzdYnAaFwyUH/88eL8B5M2S4NIuInOV
hLW5iuIND+aQ6JlVQmjcI4B+Ae5iC/m0KLPXVSz0aSt69qGzaIkc2oZZ5IR2mnwBI0+oq3jfr3Oj
yV1kDIntmCJj5dKk1vAcw0Bosd8V3pxHM3p8kHYGtQGnWxA4Yo6BTnsJFLJqMzVNz7jAtZesgrLS
vsRGVKVM0h5SG2etCqLvPhf5B8iIqbmVsS5wCG7sh8oehszplQ8uRxY266Ck9n1j5so++zXEzNwB
GWIIeIk2Q3NgD6BpQ5L8JZdWyQNUqopehKzIPfABKqHA86g6KuZVU9dO2RXoukl6s5ZKKdspcbrQ
pMwXMcvBf4yL5FMem0kn7bj1v7Vhkp32uoKMhFnkXywdcdcrUs+pszCE+L+iYSu9UKeXbW7oj4Ux
0JnvY0hFGoMH7i1pVLI0rSr+REL/yu9TCv4AOFeXlVd8rkhiUNcCUy5x0BPQDaweBolaHn6Ilclv
PVSzM2Vx/GHwu0Y4LVIsgairD04NXvaJbHs+uLg1DXcIu7tcF9VNjQzIR7VJZc89XdSnzCPkc6Fw
Gy0828CBHFTkfYfWPXD7grQw/qoTO3HzXJPTKEvzU1yI+D5ocgvknibRTSC8zpZNwSBz5JW1Aw59
vsCMiI9Fm3Qz1pbFHOMON7MYjgf2nQZyM4XTEOXNEk1Lt87FR+UZPnIxzqolmBrSOimCZACvbMjX
JEidk1LkNyatzEUtIJqaaysZVtzKyplGXTjMm4j7c6Pr0IrouH3Qfp6bzkAqVMvUJ40/76owA+GA
BF/vNzWfl5mn3LiiyTKFr0KExCBasJqksWWow9BwbA/iAjszu0GyKvYcWhlpsiitaOazukfXLcUM
gpoSxTKEN6ma06oVetFRu/tgRcMQe9d1W1RJssnV9Gl5rzxFyHCrW6OzIREnSlDl2R3pk7CiJRx3
Wdc5uqyiKom6MxEUw6IRdeWdJmUQ5DIkcXaDbIOehj2lNXioIvZkX0COFuBKOHdTzwN7WMVRW8ys
qPWRU8YV9j6qAll2tox6u1Vu38Wi+mDpisIb1XoZ1q1Tgy2cW4YKvY8NiI7lOwXPObxwNNLJPI2D
Usi4AOPlzbomsBzDg4n6puw9lDI4bdpLEkeJuoWUW2zHyUx74BXMzdRPBocPJmjMlESsdiB1bcSy
gdyOvtKBkSSzzA/4g1E3doBclJFqETBe80vT8HzvLKV2ZZuhk3a6GPqlhgajUs1yX9mQK9bNUMxF
qdNg3sdW0i+R1uC2m6SHVKDdQSJ2UQZFYDgAK/lm5MmAXTjdNkpc+A8ZH+MQGRoeeZp+C5NEJKe0
FFU8i1RlfRrqitJ5aGQEn6tWaTuVtiKqWnhlk6c3YIzpWegPJJrXOXAwy6rYHyCo6Abh8LDP24sE
QhJvZoColK6HcX1WUtOMXd+jfu3aEApCacPW4J+kQ0iHdRxBX4bLgYHEpX2iilOMArb0AzuCSDuK
CkiPZYEHiUovMqXRlrm4grRyyBwaFOEgkzwcjHPkxWyOc8+HlKISdj7DvRqyUxXgFvLUgqlWbr4n
sQhECq+PTwunawNjkFUXGH+VMGayN2QAckQu8ZAGQyB5wwz6uY9bUl9auegzNxVFdWHWKZgkX9sR
EIiEwtPyAoXT2wHHqTor+iSGGLw1h+AcV371mYXEXJmdB/EQx/Dyzuu0s+kMShcBMF/jMHEh/Rlp
h7cexIdBcRu3LXgWoR82N9q02u95qeiysVvfm0E+ARGZcg/WMeMs7OYplEkuhy6n7FpXJv6MKwO+
0VoGFIEq3NuQUyZJGCzLjpD2NLV9TT4Ghi2+pqjYvJyQcdULO9ZKX3U9q7iDihawUW0KjGUalO45
WDDxlXIEb3cCWrJ0IenUZaeVFh65Css6ij4RnkLJoGNhW19UXbVxPlXfXZmQGepmWZvAT2fZMEC9
hyTVsECRvbn5Dest6CfgK0/wJTNTuIu6MOFRqSiLBkdEDYhOHvtRcJ2WNoh8WYNX4MM10KmkStXH
ArO+TCXNFQK427KrLxJD5VoGqC66eQeboumsbwqyURogTA7cESiQTuCNn1ylyVcPDkI5400QcMmV
GcF70fvWqk0psNGVYf+JVh3S5z64ueF5lqdReMPBWix0ivBlIfziFnZtWYVUTAXkLOO+qM89lfmN
25d20YKD20PJgsBjdZBd9HdRHJlXXa0hLi1Q30TfWivx9TLxjOShH8RGhwQFpAggDuB0FpBe6Xlu
JVAiRF4yT9rcLyDNDWquL1v1KcgqfS6SKDRdk5QEEjMxFCdlo4j4WoZG489ikoKYDIZHxSlLoWyx
TkAh92dwfgDIRrvR2LPQNOCJds3QzMDItMU5LmvI3kG2o2rA0tIGgetdhH+VohGfjR7c9LNBVCW+
r3TaQ90SY7s5DVoCS3UJVoPDWt/yT3OApXWMSFjzIWua6qLr7fgmbHQhoXCyZEkHyeahtQCcCGE9
LPI4yrKL1OrYB6NCLJupIk2ac79vc+VwUyfqM3gi+h6JFNQIqE7ItEdKt1qKtuEFWIG+uIn9Agd/
4mygvJEDeGD9l7yihoDFtFfOlG1E/pnh5e135SOjcWJbQ9okgHTpdacNSMOUNRRdZsFQw0sakCqk
V10UD+ZlYuWQMC/yBlkXDCvWOT14N3rWqhxQa3ka+LIc7AR0h9bxDHe0K90mhiTLYuAFvP0R63zb
7b0eacfLtVV8a80efw5VCe8aWDpIZMZ+oq9SkWJQsCQX4ZwnCgq4XX1LeN1yLKOosb+YJC1atzX9
il1AIZc3nwpPixKMO7zRszyggCYEDn33IaBVlH2wy1zRK9Kh2Dr1ukzAfXWd4V9EpZG3bqI90Bng
jdXVRRxDeg8KgJE/14pHym07hE77goHc95ZlB1A9VvbFo1f63IFw9bKC/jJN/zJrPyX9fxHclZnO
Hqpx/n9rof+1IsFmEMcLJ36nSPBHDCWP+9XLDMymjeKJ7Ec+BeYgss2cLQ4m/al/4e98CuwssCE1
guhjOwSBsOVHlQBm+kDbKpxdz6BaAKkYuPQjnwJz62GIOQQ0MJwexgVAbeENVQIQ91FsZMKJUbBL
HXQKuBww620UWvLOL0TNVf0xhLzqGY8FuyjT7pynceGYdfnVShK3CKFVIs3seFirTBdQa+t78PEG
yKriLr4WKk9lFfXXlc/OMp1k8yLWgcQDtBHYETYWQdxAIThXcz9q1Ck4n8jxcw/qdq32odDfFOk8
sSFde9P7+a1QfSYNywZ/ATyA0MmJZmdNZwxnZp52ynN63gdndRy5PfGMZWWUD75IB0hJIG/R4wyC
IxyJ07j2m6+54PycBFZ0wWkKvn9wk9dU5TOe9GieYx64TWkg125E6mZ0oJBdhxo31FJBXWBxHtll
NSt87JgVqeZml19yE9KrDc3EvImhhcPwKnApVNouy1ZfYq2FU6XFbdn6H3oMlWPUu0STCyiun7dD
BYXzMK+h8toXkPjmTlvrepYCwtL3jGoGP+Y/eG1m/QU59sabF2ahJMRE4K4qjZeirD+piN7wEKX1
aW79X/bObEluG+vWr3JegB0ECYLk5eGQ81DzdMOokkrgDAIcgaf/F+VWW7J7CEecc/FHtK9syVmV
SSKBvdf61mZuDbcFaeUOXU3cwuHdSU/37T0b7BCewZj5U+T6Gd26ZJ7KyMu8b1U2zvsVyN+ObVUl
pmlvdNlfYPkc2jq/SNs5BoO1Ef18sBqWCIOtRraRXZrYK7qv8H/viiF8/f+yxfxv2zwAU6HB/9cO
4x8ywn/cRH57+Y9NBGQkuCUPE5HxGM8woFD1/iHKkr+tQ0WAv4e/7SO/byLe6k9Ci8VfQHz1Qrzq
xyZC/wZ1cc01ExsglItx239hE/mTpghRF/5iuMYlCQGo9atwoZCb713m8yuvAZE4x4Lmv7nQ/1LB
Aer7yzYVYE8NMMQMiY1gFZq/C8w/iyMNEXbY1XqByOrv23wMNyibS7Xxm+WM05zNaGB0v8WWU6bM
6lQZkSHw7p2hK0QSDCE7+8qHItXyTJ5HZaHRb0aXyTNjlg0toB81T+yO+CbtZzsV3Wx3uypHN6gs
am+XBX2vEnDFZjxycatyKtNezOXWZR2YmYndQNni2w5dXDIKrraFxWsn5UqU1rZtZiPuW2Xyb+ip
p41LigzcRQDeJg1rTZ0yDmv8V0o62pAUQont3g9tV2Hzk4u8HQAYoG00G2MRNFpL/uJ26AHhvUV2
bcmoCkFBTXI7+ew0j4xg47QuYz49eZX7IMP+XlXmxNvpiXlNGwVMiqgq6EkqCslAnvK83BPOqz1K
yyLhCzvOpI4CuwmiiYutXSx2ZGdQX4Q+KM9+7cpSx3Xts8gW8qoKVu7CNj+Ni/0Ba0of886FWJZR
EwU1Afci6kSHYaoFA78SYn/l1G02w7J4W6B45ih1d5wya7s0FXbzgm9hRqkElVLMTZfKuTg3s+em
mUth5+Xd1hi1z1Rxl3uy3pYtfFxuVXtlRBbxnuzbflGpypt7sIfH3AUgYWmbfUE938da8TlGT7BZ
UM5FCylSSgeAIEGbNFO2Xzp5nmmLo6vMcVnRc3lBgL2Tl969R3EsuQsdd33bAiHKQlBvGR1iWw9n
ySYr5qHaT9Wit6K2Pykbv5LGC7YKOsDRDRtoDHnlFbddGzQJWWjhxaRq4HQT6xBWJdn2gf2lsnL4
9NZlIP7jkFvbOs8gNmmVZlUQjy7EtCa4ndp2E5ag71SW9sSKGzZXu7l2tsE8OIl0ceG91ocyMT0T
MwjIfzxBEfBm2HQW9uDCG18OXm3fGPzQibTQBfLIUAJUzoJKRT4ta9kLak4ujtfQf1qyNxGYg9+Y
YOOVPFW+9ygNicCifExjBbkiGI60qU6QOW54VpLYdSrgOVX4Chv5dQ13JGomp5C2sIfpVeY7DW86
zg2IIA/1sJ9bD8HSP9JqShdeLYmX8xs6dU4E/A9w0FQcB1Ht4WfUkZnIU2flD0HQPFqdiEw7b3ze
fUODc5ChdYDSBvKwZAdZhtua1ePazySuIJATRzrc0bk84PMdvdJ+c0cL3KVbF1EoVL5x3K68NHSp
dovVOK9iDvyXPhCFQt+ps8dmyKq7JfP7aFlqAlYQzrxVDHkiLZylZQ0IJx/0GEkHFcWMr8Vp6rzi
AtrA0lGtpqyPx46t3zBwWyKS4TClgcyCD8MCnuQee7J6h6VTzy5QGrMUpCnMFRqCF8jdCsbMWB91
AL6BO97dYNsqcuUsEz51QURIeZyEvm+6ao7KWaADgzGxgbzywth9iTufyNEyib/0LYz+mp2zLsfF
Nl0B4kN8UF6WEZM6x1cOWi31HmzeVbiOutpyzU9lQwycoOy2GsTHuIRxCTA0KB0ZZZZ9nzHcZbd7
68cqNaLcTeXwzVfztfZMueFZDp5wrl9h6W5y5r+tcs4Y9HBoiAQ8CQM9Qq8K/MrXpz4DdqGLuKz9
tJTO14YNy7aT4Kba6XUCQunRoYtMMb71A910Cre5mjdO5j+Ttn+CAPTsEdFE4VLeL7U+teG8GyTB
F3wun3mu0QjjK7os5ylrtrzJUNrU7G4YzNXr2euSexcB9Sqg0/NswHLM4lD4ZtpAYsRmYasYdyNt
WfVmZIG+tmRbWnrARGtZAIks9rxf8jR3W7gwHrsnBnetr0kV8dZ/kFNxGFw2xH1hv+IkOMpMVFg/
7U1RmGEnSv7saelHELd3XuOm2G5A/C1nt8Wnb3L/FIz+Dt7hgQzea9hNSQZboguqq+sFu6pBLQ3B
M2qc6t0KrMSbix08IbBhY/ZuD9UB1zopzNJG8AUPkIlv+87G26T9AYrjTnnsLbO7/aRraMrTfUb9
JAg8swG9IaKmyG9sunzL7BnqqmnfbFq6wFSKc+jVWwk3oGkHcHGt2E18krsgbPSJEBdkg3MaVfHG
MnG0lVtGjiOGTdvYJBKUzje2A3YmUNxNq0C9tHYOpdwOrgANBFhDKY898Xk85EuzAYP8pagttCI2
t17mjmG9QNZLNXCVyKVF/XUZCj9xXPTkyaydMwTS7NtP9dnfW+H/8xM8/quLtJYgIZJo6JVcD0wj
fMZfyxxSeaRp2sy6lOUjq56q8IN6/8HI/E+/Yq20fnIUNVYxq0b8Cltq0HzXsbsu5c2//xjsT5XU
+jEQt0Jt6DJ487/+DscZdTOHBb/aM055/2qG07I8WFby73/N6qn9bo7+drVW2J4CaYPpZv/BHIUT
rF2/mvh1bEwqyxyFIb6H8nGkN/NEItarSHu/eWj/r9WK/4WtBK7ev28l/j7z45+0EXjpjzYC4YwQ
BYXN0O+vXCD+6qc2wgsYjlDY2RiHsD4X64cWEfwNzQUe6IHsFkxgFwDHP9qI9Rl65O8/DJmKv5jN
WFfe70sG2QzU9iEcZg9z5+H9/DGbAYKkWRaIxldtTYx0kTMSdMBtG5R7NubttaDAB3I/vzBPbTPD
vFupqzAy3L5zM3pXqfFT2J3E+Zzvy2k65j7ZTO54qhwntiZzqFtyClqSGGcF6ujyoTv3ZNfY9Nyx
uTg02GTcP/U5OmBt3bIyf/Q1TpRliINMfgbIBigSRJBo99UoktyyVlDX3XtB/qQ01FRq3+qqvowa
skJoXxZ/GuDfwXULzNZTJJ4L/ujhrLDwidJazR9hMZwzoOiDct9cXm+nYTi0GdsMbnicqEQdkF9C
AcLd0BiV72V0ysgV8gzL4NmnoIEJuYSokKxKXEtSXoRF0mkME9mbBFDGa1j0NyBLznzW8YTcAZ3H
FIf/RTkgqsNvvQqdtIEzEOfjCNk4eF+txYLR57Kc9lYfJpPX3+XcADYuAcaZiHXqXvfQlbOluHLP
3wG6SUjJHiEA74zu7wC5fLTOckFFfckzeZoYPGQzHhqld9BugXB33/yyu2DYWmqycO9yeufnfhch
qbIb/BbseD2fq9GHIaQlDsnq3RX0LuxYnEM3WQ3o62gNJ+40ieETqv427n3rrgwXuFPZE230I7i9
lLUFiWReoHAG3J5ntoz9Rp6LoJ43bJbLba3HLBEFe4f2o1BiLNug88aYL92z4yCd0MzLR+t9F4IU
t9Hs6XA2MPgCVe5KtDv7QShVXqkxSxGVlLXudlKw/UIy4+4v/d6zhL0VIDPQXXR3lYC41jI1xb2s
0F/UxD0vnpmSSZMyqpdCRCH8liRzTXmHcYPbyrH7yBv4rmxJv/o6QYqPtHqWxsSg6OAGd75Mh8Au
49Gf6Q7uJogcpu8LquWKDixRBmdxA9uwi8FMwXri/WOgBjutGGJCZe3cFoHuYL9/m8EfRqHlPFhO
9kUEbhJoejWOt6Gqusi+mpMKiRdgop+FoWcA68/WjNed1bjWsBpOkOzQCMCiTYtG3DqieZrHoUi6
qR+izGMkNjlFjdzRDw4dPLLh6kWw/Mekp+EFyR0e+Uv5NUTBE8FXauJpymVSOcEn78K3VjuPnsc+
8f6hoAko9BpFe+J2Gm5Y43aJ1+J46Sq0qFNHdl2tEjcorsAXDkEzP9FFfxt9+1CGwYGKvNgs1pgC
g38qjJOGTS0vOpvlppkQknFGEEqizu7bLucRD6s+dfLJTUaK6mUm7ctcGlxl2Xy1RCAie5lV4gON
2ZTVss8stKN2WMShmZDbQgdZD8u1sP2PtVNa6KQitUBNBVe1c9nk4ZX1joMHRdbM2QQdTD/pOttM
OC+DRBgG21Qse29f8BGeMCteNHfxwy36pcgkHGOQGjDiP6xRJWgcdLxkdgK+49nlcop12OMHjHZM
Kx6j0XFiOqgxMqp7yGe3SexS63RhuO9Llr24yBRFWZf5WF/uRlYQFcJwxle0qHQsBL6Wag56vD33
W2M7y3bKeBiNnkIUrphBbMg9qliG9zYduqC/Lg3iIBocT9C4+zm3L/kwwda0D8McmKi2wjAqLF1C
3FxOVW7fz3w4em3+AFfUjqaSJa0qpyigMxCTxToVI9yVVlePkF0Aejedn9Tf5eI8r9oNlFeIyJaA
njytyrJVQmOmA/IXq+rc2oG1tVclWrdodtpVnV5G59BDrgaWDg99VbDBsRXx9yP4v7WIDTrsX9ci
/7fuivbzz2XI+qofZQjUTAxXcxH5X4fjIgn6UxmC+CiETvzzG0j6SxmCWCkC5B46GjyZeY07/FAz
UaGskU48N9BFjb6CqX9BzcSUmD/VIY4DmNAFnYT3ifrm1wqZK38uSzeorxaRr7xA5MAggUa0t68J
BLSSmbhXY+p7TWRP/sa4/BRqeZmDBu76+mVoCnS2I7di5Y/Ohnv2xhbu/VxMThr4Yownrk/2kCXM
Qqe+kudF4HRxTerTqmnFkwX2u+rfG7aGfQj9mjlFH3dWg97fW45LMH1FekLGQQV/AaJwyvTk4bxs
TWqPVg1O3VsAkCPO4I/hGFPIX/EgWr1phb5xNCB4h9fHcfFcJCaHFxeIWQK3+Kuw2QH0YZfIBcQ6
n3qk/zgkGgg1UeuHNyYkz1NmOMyLNbWXW3NU+5DPSlYWseHQa5qGZ5Gf4VgfNtqHICfh10bOvDyZ
nJ9xvh+7rDvm+EyR0NgjGse5m4sqmThv0qp1zhlxHjJdD7BXxibCPG1IID3KqK5CwoJSd9e4kAey
oHsOPGXFzNZ85LE3yYLfD07ZvQGSeNKGzscB+1DnDv22JuhzSqneFtQLRVttm25mER09EdEZmt7o
Zg4qhOCcc+fJlb0bjcV8tTCWPa2q0SSOZ3hqQkAIXIXW1hLjnWvlX706E1sAGTEBZnEU7H1Y3sGi
bGjH3nvtiu2okP4ae+hl3dyIp5Dk7T3Sh131WXDzdV7yO+PacH3GTvhRpfIgeFeo4TKs7709tPZu
GRxxdVQWXmmT9QcdZjENYRjNOD8Ghe3Tzu0izmmoL25p4P8Wopm3QNmekRdL/KLJz+4iPmFvOztb
8FBGiiEF8Zs0/999zkPz/a/3uSdE50f1/ueNbn3ZPza6AEOmHAc+LnwRQLTYaH70W+seuLozLoZ/
g5pnP210FN4voh5raouit/q538LDH8An/vbIAPL9r/7CRver2IB2a83Vw6/BE86Jt9rNv25zi23x
Sal2vBhdxRLFAV9jVEHzH7wb8r3V/6WvC30PDSeF3GA7jv1HZp8AVZGspN3FHr3wscolIq4NEtlm
h43eUyAY25HuIWCZ+9IBoQSHBS1I4PPXTpTBAVHq8Ej8BlQnKPPlJtfunavFBCxSc6R8p6rs3bdp
kSy4mTM5TZuSCJpMFKlTVln1dS7rnqRF1wkHyFM9TjFk1GwNWWftCyqcMPUCo2zsgV+8ms4Xn3b1
lY52V8ekq2q9EdnixvU0RlYN0yfyEfRxr/ZEvOo01eVVDVBdG5jT4A1v8ETET6/vvraSg2K1H3wo
YsgqIEnExNax8SmQyU9Dmm3CJvWWZp9p1Otu1RRJr0hSa/ktRwbXdPRCnO7b6E73NcHuOFNVvvqV
6JOQV+PZ8juF0txjh7oIzx3q2NQYp49ay3K/UVC9O9AgNoB42aWwNiTycZaHhGlwRtb+0rc9Cngn
mBKOKng7tP6jJtZL7aDsBseNwm4YONJIo+vkWBZZkzqBjfQeXX/E4GxIxdSjooO7JCxo87ueT1Y6
+kSl4WIvL7QuNK4i1L6or1CeUkvppPTMnWRDcMgttK0/fff+iTT3T2IN+HHIYiJuCRody/rXtSy1
kpwvgbr0afM+q4jcm3s/siIZD7t2l8GsSHjabP1UpW3kHejGTZ1dFlf/Ya3/oXSA6gVkAxmXEA+S
t5GFCVbx7ScBz1vUPKJNEZfM4QfE7pe44jKLupk60NqqMJVT5m6UwxQGJwT2mfsqOxDcI1bJJta+
voSZraPAMW8DaKBN74AsG4ZukwXmzYeHj0g8UvSZWZ5l3SHgpaSO/b50E8Q9nYjkZYPzekm1G27R
r0CnR1NBgywyXrgzCH1px9lS6qE5HjCxoQgx0aFpd+VCwT9QFUE/SWfQC06GdHGFjjOZUDU3Tdkn
+BJf5gWZOMlLCNsuf+TIuxG3OY9LYK9dLuhBLDQ/lHQz2uX9v7/Fq174+yay6okYJ4In36wPS0BI
Nlx3s5+ubGicOeyaTF3sqSm32AhqfHi7jTGeI/VEAb5EcmzX/9jR/9mq+lWQ+vPv/MPdtJbJV1PF
+wuo1FcvgxE0cpGY3gcgN56FzOyIM9VFvgQrU6PX9ZAIOhk1Qta2vJMoghcb8VLAxdY3TInYdFKe
HcFu7cx88bh8a+ZComWT3fH7G//vmby2Cv+4g3/iseL3+n3Cs7f6P5/K6wt/nMrriJp10hgAKsiM
bI2x/TiVV4E0xAQjiJwMs73Xyv93FdRbn9yCpyYCQ/21/fD/hi4GciWamTUWZ7O/0n4gG/fLSl9l
UATAsdYZzmQ8PNf/w17W8gBzQKZAXG275jsEqLc5R/WLuPFx9CcNbMjpT+hhxda1jbsNl/GmLSkC
QG3zobDpJr3V72qde2noKh3zmblQqHIZjzms4dKanSTHBA+sWmYSxHGbG4kxN7kHy2tSrhvDQT2C
Yz4pj+4CEQJftfItTPrnLOAiNjI4G6VRuIpqgsk0HHhTwiyn3sEERQNz3z/DEHjkHlCnoQhuw9mv
0NAXt4Ot3h18Q4CL8qep8bpoRqwIIL0/xdVkzqz1n5cMLj1x3ZewFs9smY5hRU6zXz9YXnMeEL2O
gdY+tgrfPIsgIpHNR9/Qu7YtN4Rbr06xxBwH72BLHz1ad+p88eIE7OLmTRnlHpSLxWsjLIr3AcRF
1C4QfSx/SAtm8ghKAGQltTBkCKROg6AdMZJl0kjJNFeFTDgiG+5O5E4RLfN4mdeKgJuZbL1q2JRM
3i3VVGK8DfZdyzE3bsa+gD95qEa9AR/aRC5vbxbKNjpv9gVw6whm8g0b/cdcZjztqH5hBdqlYvY6
TAiiVVy3hdi4he6RyPe3gzK3amn9Dcnrw0Lqz9w0wHUH55HlUJdV7WQxkr/XcvKdS535uyXg9/JC
c6jnaBbm4Mh0WcY4yTeFP6H7kUBpB1OmgztMWzUGLznDVIxRtk5Ui2KLXreNqkZ8qXwmknJAx+FI
sqkDgLI2T/WgdwVwm/V0+FDK/UQR+DkLm++4pJcVMl4myREMm5q01DV9cjH4J0FIzUGHuA5GkYfG
Y/vaIyD3840KeLUhCHWkelmc2OFMb4PvvVHrjUM6T9Zt0c1fQ1PNKvZsgIG2klsjKUTlQR6oJR2c
dN0uZCKPhIPyrg38IKE02DkWb7dCLe/wwx8KWyRT32AaCiBELF2so/BZuJMb5xLWp4RTmhYhX9LK
h0qqgdTGxIwkRVYf4rtX34UTYpNO5kYIxe3bkJ2yqSdRU6kyqXmJ74Vfjxjq0ZGNK4WDHpbZG6t2
69gGt3zUTnuLE/yLy2d6O2TNXbAOJFojcvsOcwyifJjhJJgx7amokbg3VyHwTcGgjyUCuXiT+d4p
b2w76ewSAz9KXMCWvQ0DOfTitqC0i5QKbkBHgGZh4rJkNQYmDPMhdMRX2mN4ldTle0ObLvWrvkqs
xaoSTKyBuulBIqYSrEhurK2r49K8Odz9OqlTWe5R9qaFQK0hMyyDqcne9RoacLQ8Z6aCOuda90tH
dy3JLZCh+ZPFq89qxFfGaQXWdudt+hDCiIX6N0QKDvB1/QCx8ls4iRmqO9adW/tbKlqeUmTwUCSb
AfiRbE+Ws3hn0jYPVtHIyzIBH0D8qkz90GTJYgDejFkmYq5sgXDEdJ5UFURIx0BWD4v7XGE1e5ST
varLPKUZ7jgiHwhOanMrso4BU0VZ1DeTiTtt3blohBIbvynKDQo3GFGIfFVVtpkw8yURcqC7HPdr
ohiDg4QUKmR521D3WIv+3s7sh8wDb0ac6ZDhkTKpa1Z7oP9uFXQLUS9ViCh/yjCyqYz7sTyO4wS4
cpjcxtkUc9YCtS361yDkOT39tyaALYnj8t/WBD+eNvrnkmB93Y+SAN04QbAcxqez9sN/UCRhkhP0
3M5qi66n9e8lAZ55DrSSAAjG//IrpM3wB2snsA4cd/7aKBc0D7+UBJgkY1PE7l1G1ue8ut8lgZ+L
XzJ5qrFE01yNlx9cQiI6Iau9VG1i2lJsJjxEEI1BfUbjioibS3f2SLZFN1zz0dq3dZlAzL9twYqN
LjnMffdejfQ16+sYo7TOiyEnHtKdyZnCIDGh4xytd6/r2ynLqhQA+DvKIhZTTFaLsnrsYgNJ7djo
GucEMh5Q+YcWW2iO1SyCE+I5N0Fe1YCqMM3E+FBBw+oDwfyNm5GbfBHXTnllhATFy0wmFomWXQMP
XpAzVhDC4J9dRya+MiEALS/5AO/IZzECYGTv6eA0DP7ezZoHVy+fmpozHKSPOusfZg1BoKz5VrDx
yDzjRmJiV0/4hxpBuCjMvUcXkIMRw9ucs00/IUSqCIyOOQxuaKgwtgYm6lxdyrncdBZBThYUDQLL
NaxIZT2HDQp9YZBW9spTrgB/m04D7KuGfevVEgeAIeCbwmZjleEbkpQ33jSe6BiISydvof9umqpI
tU+ukLE3o7vcaYLU1RrFdRV5d0keo0V/mWj2zKi9YeM4RuE0ezu3bj4KPT52lu0mjYHPRpbyoidc
OlmNt/aSQb2tWPMk6Z7pPhjAInGgitKfLohGbbIZg7xw0s6xHqf7HJOt8O/FpmB9nQyyfRrxNjIJ
V7EqrAWSqNh6hY1rE5BY2PooJ9wH5E5hONpBnQiNXg/+210RiOM8Z1+RVYaSwtgDFezOAkUQY0DX
KWwg/o6eD8qvkzWIw/zO8rK9Vw705AmQ8IssH4Ks/QJZAdmg5rbJq69lq554CCcKeQgcCvhQO6T2
Z9hKmEaQiYXHmO24cemwIKeYxahRqk1XjIkJV5O52tp02lUOZnAh9K9Tpx8/Aw+lFGXww2y/exEY
5xeSblXZcbXXjELMBSCpdiF95PYKPH/gk8gsUIURw+/ORiuQjtVd1o1BTO0S/XFhESR0EGttxnYE
1geySSz1iTRIBQX9S8H8E54cctdOAoHPImxiixizbdoSEjqGF25C5KgxsMJ561p5H0y48d7MMWrI
QBzLvmaThUDo5MHwDu4QXd3NbgsxI8v2/iqAe1j04HeDzWKCOkb8m0YOr3rIC5jCA4l7QuWg37lr
MFiuBylY44pGCEgchslK7IqlMNgwiqZuiiuqki2knybV1Z0FWDpf7TNu3pHJeh8m9oDQ9kNVkwS9
/Q34iSqeOSAETKJEEVRYTwAREfkApZebYZPriR2KAom6DnQabjv83NbS77iv+oDZTKCpO0yWAt6d
OBb9dJb+XNvWeYHKncKCblNbm3dhip3uBi8WyM3idiFFpmffj7RCogMZvfvGnwX80IFsoa2EMewb
vJ8JE5HmESsQf/7NqTEQU0OYRzcC/zSorTs52p99gyVBWVMchO8/dkpe+hopDiitn11nX31r3vQl
in7LqemqrjsbRspNbht1ygjQ75bibuOKHzF5EwVxi9WEhO4rbWqxERb2YMSFQ1jWioIN4buMsgVj
gPS7ZAVGg2JrpFWxkfBg4zynZ8RArn3tQqbBeI5EF/CFymZG2yRuZG9vS0UfOoO9UpB7wlHTChMA
8xb+O+fdAamPg4MPl8yFzTD6aHy0mCFxVhbrlEzU4srDoq767HVi5lUN8i7vKQry2tp1JRlX2AND
RofxvkM/gjl5uL+uBT7eVXM8++AhMYDxA9OfsFUAGsgRf1dmy2XeRA7tH+CTP1XO8KwkEIG6Gp9p
iGlexJlJYttOfjR9OSUFopqYl1A3keCA2AA67FVf3rfM3ZoO2ExWkde5WmzM4yqRlA3BwYeVg5go
JnQp52lit3N/MNnLXBxp7t626C0DsLGl1TwWwMYZaYcta8XF6QQ8sZr0OwTyPwk2esT6whsEwfHV
pla2wySYOvIR5k1rv0DqhkLiCudT39V3U+js/KXG9ltg9p8m9yA9jrnQCN/x8dlfOx1bDgc5XCam
o8Ebi4j7QJK1WyS1CIutIxUaPVU8YwTatq5VeWotbP/GUudQ+xaKxbFC7n4pkXJ03ajvAtwtqKiI
iB68MLDi/rsTQ767Mhoq647CqUH7nJ/ndkBUCuNJ4eOUq6GjADaCL5VGX8h3w6fHffa1YWAH0LgW
GYajkf6QDSa8EldBNjCW2WUAZPcTWKn6u7M0Uq23Zm2s8i5YB42ychOiUW7QfTmdt8dudGDoyqoA
QqUagApbirpPhd9hh1jbONpbuxx9HaU937W5/elq+zPT/ANHDiDqfNlp20oa9IZOZeOj4z32LhFJ
tdRflqKC6MpzyN+lEw2Im6ORZi/gOicEtoYynWWeStILAKJmA5QeuTKfHTkudveBMVmEZncV+lkL
0gVoEf/qdksWF2NDMPTCfsTlxymOfrhbygMmUvjQ2ZZbTKLblkh7Jp7rt5t2sSvQ/3aXFDCwMWN1
fmmHBYJevYL9Cau9xyaUNxpJt4iZaj+jTVdFfTOtfXsPBIugkfcF/YLN9WYI5zaucyyBAk0/sdQG
GxymNFJ4KCHBFJpVIfAN2bVscMAJN1c/VDqqshzgSVjpVC0D1sPM14l30B0Ug2q9KhEdQwdYCOfd
9E4bIW2+9QuA2ZCZL7BDXxQEjcWv/Vg0VkogdXhz8IqjZTPNzp2S0xHf3J3vMDuSEEk602M0WVGf
Z4KjFjJKkQ1HDLx79jryMq86C1ICz72znMWqwMxFiHmrFrC7EPIM8nFtTKx6bzD/jKrzwvmmm50q
GaHo5Ku0wyz2iNm6Z7NgqGtbfNT/w96ZNEWOpFv0F6nMNUvLF4qZCGZIYCMDEjSPrvnXv+NkZXdW
dVeb1b52PSQQECH3b7j3XAZATYZxRJrzaZi8fo8ZuduUk3MudK+EjcxByCBJ2ImzbhgtZZVxGhk1
9WrmFKnpk7M439KxKJiciGUdqRkVVAFjDU92WaFrq1GmG+yji3IOaghKG7Y2e6kmXq1I39yRGsZj
GObWkqkYsKJd5Et5KhqGYA3Dszx1ofsyTsty3CZ+MabUnGHHw2Xn3mLdO512dAB+7py4OvhUW/Uq
r01oH8vgg0L8px37asdMepe/HtEq19s6+Yj+FdX4C0WcL/xXP+b8JlTmlm0Im7Gqzhz254hWdwGC
YzYzMbT9cK79qx8zf6MbRFPiukxq6dXYxP5UiCgIGc0a81tAZDaT3b8zooXw+Yd+jJf0herxTBN/
LopaRQX9tR/joYyhKILq4dEEqgubAKBE0Dt2diwSQAAGIMiF3cHKErUxrWN4jnd9Fa6juIxOZp+6
r1lcsvdsArSFL/QYun496pJjPx1mFKxyKP2rouqWY2T2eXJoutm4Zwat2QddChRjvq91V0Vohkwh
HFQE4DhS/S5x/dy6WKIll+/ICZ3x3Jo0Wwid0JY6Zf4RIpRYV2XSg4eEaZLuROrpXAReMtx2zdwd
rNyQ2moBtIPYUcz9y2K5dBxuE4sLo/fDi7bBWBOU5YjTYfKboG2wyPZiTi7sDtZTGHLJr1I/9F97
WcY+E6VwXHY03vQX2PauY5gbIJde3Cx6Tx2r2EBrKoLasT/qrvhw/Epn7FM01vex4xbgEDKaCArF
Iuxtl2n9y+hEzmowRJIEIyIYiocRV1nSed90LanXPhRN7htn2EuzNA6xFsYnLTOKfaa3Lviqfjos
dd3sLHuognZgxlRk7G1tD8nnRDIZLVd45s2t12wqA/zJIebB4sLr/SpgAeSeUc8sh8zisE7gJ4Jq
jDmjUfu0kYEAcvZSyDM9qrKSsZrnIxrGxeUNyz7X/SszTZwdRVS30mSBLSSkYpQW69LYClFYMk9j
/bWrYHjgqZowPrTjZYY6JxAxi0Q/R9XT2q69SbXauBJRlt1pGONuS8cpP1JhtceiScpv6WDBIEua
7yXD2X8WS8qxz3yFJctfn1r/V7x+r9r/HCGpr/p5ZKmtknI72FRIBkcMu8KfRxYIAE4ly/maLH2N
if49QeKowrurKyvGD4HIzxPLQ+oBUF6wV2JTpbT6f0PqgajuTyeWzSnqC3h1LA44Aa0/rTKrmgbZ
nkN5JXLzHhXBnSHti8KSN9lE9zSqeWYkUHLq1h5lKGpvNfMM1fSzm/qQcphTyZ3HngGAdiuQPVNI
0iuPFpWMXHSWO2p87PO9SreKaUZq/eBHgPXrOL9r1TR2KSuMatV01homtZQtXOdqeqtNdrh21UQ3
HwyN4nNsLgXjXhcEwNkdlvKEjwhAu4PbLArRUxlqUCyxZHlqduzEKHWXtryPS9WVqAGzaOWhYeIc
el20kZnOwsEqPgC7PQLF0hTUdF8xr9bU4Dps5HlRo+zFppb1EWM3dj8HLfPusj2k+klXM/D4tTWD
zo/2VRVG63HogdypobmL3n9d5lO2Nqi2NjWzday+9Wrq2u89U3eqxhGmL78Q/r+DZDI/I9xAirrR
llPP0H6yvBebIX6lpvn+bIs1WppTG7XXiZr4W4PH0GnSr9BbqG1Av9E9wVti4kLsokgeXLU9QJ9x
a6h9gs9iYWLBgJ0O0o3aOSR6rG8NtYeQ7sBGwkG3WIdVt8nVviLMRn3VCu9ERMFh7lmi221MIETJ
JouqXqi9R2PC5vMkLgNmW9OGFX2zidSmJOqEGYQsTyKNCVGV1LtGpOhq3Xvawldd7VyKOVt13E4o
cv11ZWAErIFlrWrWNKMYDNi2DdNMfpeFVY5vFmmQhXoprmurK+/wXPCDW6YbuBsWq31PqrE6GIN2
zQf81a+QzLdpVB7jTH+i+D23wL7WmmdBrxzNDxZ0H4M7z1vZTSw9pBfS8dlvBcNfEh6MmGkX4vhk
7O9sI5IXhSeOQ5o+14t/sTTo7O0q3gGjPzXzDPNZsDPrImQkVRaOq1bKyy5deHyG+zgK35rY9fZk
CkzUz8VduJjcJUb/rTHdgyoM9p6NkXBmnVPNTrH1ZHlwIhsxs4iPQ6fCG9Llju85nprBHgAgVRXM
YKcNvmBXuArYi/nqzZvYyggndNZ6aH2TVcq+dmFKKDEkH6XRT8GkMTCJ5wTlucwZnE6yeooEMRNl
HLfXqWP7qxFk/1TO+tbri0dkJpibuxi+UMoOxKiIcTDrEutpygIKbTdPe2ccJND/VZU68bo1+oNY
PHFovPjg6mG+c3gtq8YxoRarp9SDkSPTbllVDQqkDjSzRoBDxT2bgrmnX2d8tmDiDGBhTavZil3k
TGhLLJ07k/+gWfZ1ira8ksMDY84Lu+2PlYkqxmrvBpd96yKLHbd6RtoAuOwy0y+HqX9IKra6rLyv
C6u/ycCCe9l0lsXyJLEyrjJYrKuiSh+dwThak9jPUt4TukGf1Jd426vKZBqBFF02G1e01baY2Q0b
7XQOW/MmK+d8M436xjXqo9Fzuc+yByUdviSRfgUU8hKG5XWTughyB/kWhjbXd7Y85TFSUqvxMG6k
xYssXEA+rBNXnVHfV7F1MWFf3gw5nxqgpXP2SFlo77E44SSB5m5s4grcntom/dN4fF3h6sb96yv8
9CrlR/mfV7j6qp9XOFsg1Tcg2QQh+wNi/MsVDqQHTgYipN/VH7/f4SSNAtlH2YhrTYfa8atc0/8N
Px0yd24q8MDe36NsqCblVwkUvQ1VAsRjvFGsg2g8lHDkFwkUHbD6zDjj1TyaktHrEDIc6F1/Xkcz
Kij2/xfdkmGnnXG/ZY96r+NEp8tKukO9JGpryWjj9MPJlE5Gt2yysS4rFeyBUfRd5Y8UtLzwzjl/
2gTg+9TuJ0eP/E9fFHqH9UvKdss8ino1ZAHsM6CpRrZGPJEaLk8nMhYW0NkI73ipdAsSaR9N+qYw
onbZWK5ecOF6OHa6PgM3IDIPPsIQWfZDrmssZVy24ImhIyQvHavb19ow7zn0ehxKKugl+sp8iaK0
6Daq1dvHKhSG5QDxMCooxo9GMmPmeh42Wt7SJqhIGT9GySYKZtws0ew3HG3ADlQITSdUHo3dRBYB
OfGnM2oWVYn3mZYkaXQFkku35v+rNTY02kDMzaQCb+KolheeDpk8Stgi5x2zsVxF5FB7ZSvjKzen
UBE6rQrT6W3M57oK2GHNT8ugQnd0Fb/jqCCeGvAkQ0V6iXwipsery4/MXeydqSJ88OdbO1l1yUZ8
BfxEFEiW3efXmYr/IUflUNQEAhVNM248FRIUeeZHrGKD7DbjY6HSUArwHhuoJe5KkDOEQyraO0ve
B7oKIYrb9tMdw3BXq4AitwD+BraA2KK8Q2zCrkRy/BBqZEDgPPOakfaoyCPlBEtUCJJB9coQm2Ak
X0UkjT7bFalik6AKZhtTRSmNPYlO5UIVWHjmU64ClyIVvdSqqgWvIZlCKpipq4lo6qF47/TcaW6i
rwAnFeXkYg1bMZ9tMJCpqCdZGfl2+Yp/ovRTvVO9mXSXK7Dg6A5VYJTOvFOFTxT7f47NH8fm/+x8
+BB9tMlr/l8Ozl96H5jxbM7Rx+m2zYbvVzyR7vymCzbrHH5f4ji+6mfzYxLsijJe9SXMUKCA/Dqu
AaFIViB62h/ctL/T/KCp/9PB6aKyt1GemzZ50Ozk/zSuceMGpJnWzJCCGNSiXia55Vy7Zh1+imUp
bZC0lKnU7SZuvWVfOVk2lnhcU6QaDoFooRGPaw+x2b6FCT2vcLy/R0KSwuWHmDayuyzMius546Rp
FocVpXrsaezkuXKcTybu6TorDGAvpYoF6ntSLSRCp44Dl0NKt09LL4uDVnKarPSMgiOYHBkHaRq1
l7XQzdWQ+KfU6bILBpHlWtbjvG1tH3BGA0ImL0QdFL7erhymDJfWMB8BzZy8qgsvigRBQKb5TBuQ
3cDRNJyckYc9byffjdesKFBNmVMGi+bL95OzqfL6ci0s7Tl39KvamcqjG/f3uhOLdVhYsFYTp4Z1
M2uXbeq8jyWbnqZy9R2JZJ9Lmr64YyILOhe9OIwhMSO1lc4PLfSUNQTzc0SqyKGP048OVO2zQRF8
s+QdEgYnb9auzJmcz8o6CdIND7QW6htnFNrRqidxsonV2iVMkHDi9M6pdd0bD8nVXaHnuAzne5j0
JWQJQtCEV924DvIcP2zRG+K/WFNOVYclo2e1BF3PNGfaSY8xGblzG9vPQw0UMxRmRmgYOwnoIBpL
LBqT1mmvYt67gRFbcp7BwIJgivSQjJuU7wRbV43imPU0+Di/JnS1GtZphprbcREsx1YN85KvuR7L
vAotAn+E8MoPK4gxCT7sQfezk1H5a3T+yx0+UX36p+j7fW7DZPiviz7GZN3Hfx5dgi/6WfOp2Qwl
GnQxgVPHcKi5/lXzEWqhpiUIz10U51RvP48ulVhMzCnKnh+zmV+PLv83layA5sdmsQRdzfo7R9dX
9fiL7J2aj5ENamMAb0yQLEu9vj/UfPUkQVbH5pWcLEFHNxyIUGzw3LNWbJ1mi5SgZ2Yyf3MN8IUy
st5bE5EMDcXaVlTadIIA2LXxRYc0c1WKktAn0EEeY9r1JIfLieXTGvlLhc23f5v98jlO0HYW+W1m
pbty7o5UxbdNzWAnbaAb+TUmk1Y3TiWnyCrS3AeZMRvN/aKDFxs+wP/5xqrPpclepsCZiis7Mq/0
0dn4TXV08+aQoc05LANq+h6HdzDE047gDAwm9SeISFQPkX2E0rYjrOzNowj15fI4YdtdMcZlT8xj
uGJuXOL/DgMx4aZ06/hx1PuXbBqsgGpvb/RVuWJBhL8wNhFA0GQHSW1eZkVzzDPLXI2UPs0Qcwpo
FW1y7l0lqHuQODRXqT3Ux6nokHMkjHrcAkpPFrekSokovJROJdbMGRa0N9by6fF8Xw6W+74k/HFr
YgxvDBCyq1i2HzEYxnNa5QcbY/0qNOp5F5fSu5IJNDfXHXnX0GMzN4YblakYN2YZMeZn3dklKuQN
VoDNVtiNbkRk6uzOqZuaKOH0VgFxAONJWVKhcWLO071pEiSnqUi5VIXLmQvBBg5xc7YKnitUBJ0+
zdgRVSwdK4mQaFE0ERzKeH8qs9iUZnoCJXmxkGuXlfqhU0F3SeF9wqlzIDMRgqepOLxZBePpKiIv
+wrLU7F5KGZn2JWNv+tUqF7KGH3nq6C9IiJyTwDOvkVU4e16FciHOyrdCxXSh8adxbhpajdcWlTe
C79pMxHrl9BPbT0V9Zeq0L9Zxf9p4Ljh6xIJaDMn2UVGfD8b8rrvRbmJNW9egVd4q3LJ9jR2gBRR
Hh9rn/47ovjGia7+RIlRvozSTh9K2OMrGfvlfu7JazEm1FIkYBEJ6zFKjOuF9DD+7siytH7vjewH
49Fi8un2yXdsWhTTqRtuBm6IvejSbW/nmzAsGa1AIV4VPpIbtkcF9nU0P1o6euuW/Uvg4Gu/WfTp
Jp36W0eVyJIMsCTIjfyS9IJuzxLpsyuXt47mYtvVOuoiP2/PCbDiwJycdd42DgKvkcAnzR12iKes
W0PrHxO/6lD3dD0pTLExIQ5M+vp95FW5i5aB+07ZyZIFutOS+V7XRp3QrsgJxOAfS3LRsPvMOmuP
HmKqhMpA3gWwfkAOZakdQZrsE9N8GJjpBNjs74smPbppeT26MtA09yztl9A1LvrKGZ6YhX6MDjQh
S9PIpSRGxhv78dSjxd37fodKrMU2HGXiZPDT4jq+GAbrs0EXhMI6P4sRLtTgu4+Lh64pSRcP62/x
XbqEdYRFcQAodEOS0YnAOYIkFJWhLDxSpBIloxtie41sC3xEwgis5Z+XEku1K017O8+8hbDGAIdE
dzk0O1H1z7XF8eAJQFpu1l4ko/46ZY7DtNgkB0JW0ZbuGV6sicbOUomZ8MrY6FNsyeFMBNw3dn1w
YzXr2p/UVrlwywNiM/5lJ2i+snwI6q66oE/aw4Auoc2E21ThEhO/U+yNFP/C5K+RIHzI0CGQbEjW
YWw4zyBaCwRT5XQuje69soBd9vYT6Gc4EHTPabu8TfpALEM17fml821sIJgDz7bOHfcyTjll/IpK
BEFPRnbsaqj0vdY4+xlUHHG9yN2T8QYI1olFH+PbJH/rPH/vlualHtU7zWp2EXEMvKcBkDv+u/0a
e+zaZNJ/ysS9Jt+l20CaO3QqXY7MYag32Q0IfY27oA9yE/xjl98UBNPpSXyfkwkUO+XeVcl1PRF2
ecKa1GBiUIbSXRVYQEMiQpKcGk1OK0kMHquNj7CHD8I9ps07SWanxzA8y4PIKW9F0rabfzq7r85O
0Ab9dW2EwaJrVQq87F7/S4nE1/5SIrE8R6fk6zoDKI8W7pcSCVuv/XNHpeqgn92dR9+nvM/0Xe7X
Ev/f3Z37GzWNbYNS+7H2+ns5l6p6+1OJpBKR8El5eCmgbPP6fi2R/MJd/JLJ+VU+JGS3sJKuxJGJ
inUsqUbIt3WKhzmNeIBhiXgATrCiFsROwhmJS4Y0KJDuJwgkmTfdDWI6zSFboBop76pXuBLSIIg9
6R7HAk8rPBP0K3gVQgiOijAwTaT49U4wKQbKgtmi4BIiedPH3ONPO7Qtn6aHNmD8AikrnAoMeGPT
ZiiPFw+jZJoiLVX4FRIUn2cFZJG5NW84JoC0tPU9INEeWgEAFwK2ArNeRDCzQbYU5KWF9pL7+roz
wL+wQVjbyfjmsK9PFSDG1t13xtJJMMCOcZpJrggGI58ckqjCyxAk8uQw4PLcmjja0SSnHGGBCcjJ
UHAaeFF7qXA1swLXUJK8zVX4VkC0Eao/w/L0nCjYTWFluwz6DXdnudUVEKcdOHe8qP4eCYtTGWpO
TW+Ie4UjO+y7Dyc0lkv4K69JbYcXHOckGdl0WNxKG9BY+q1B6ba2yMEhP5zxfQWFcDeO2YVuNwPe
CExqHH9ttyWPKUCfAMQ1dKttPpsiYEdO5kmMRSPyF9gORinPs/Am+u+h3QLzrNdhrs1Bx8Z11cos
pmoiq2cWSbgphUwusAflO0QF3Z1hD8sjG8p4XQklKZW5OLO/gfcxZtlz1bJL4K5xnjATFbdYt5vr
2DGSg6e306nxQywuc14dDadBFaZZVnpi+AfWU6smoIgL2vmlEOHb5CWatyYGqTmUhrjJKh8AcDzW
D2SbW8MupGF/QVAefVoetqJCwcJHKKMQE71gLliJyhTBBUIGPjdtcqFDG+8IWpygjzf4eCU0cgYV
fqA1/WWrQOWhQpa7YmBJoTDmrgKaM0e7tDoQ500hULwr6Dn0c3J7olWmgOilQqM7CpK+WGhGKwVO
d5GIbaseT9LGSO5cs1R4dUDrlUKuUx0Ojz7pPwenAsEaKzQ7SDC4KdDaJ4VtJxxmPSmQ+z+H+ddh
bv/PRve+z1/b/9Lpqq/6eYwjnIJaKXCsGPSu+FX+fYx/wShM4fnUT3/yuDi/0XYiqOII/32F8S9N
FXhxnCgIC0D1YZDh3P0bCgVchn86xvnByjzLa9Axzvvq9vr1GIfLLYgUqcBRIOxHmdu/ANXDhJ51
VNwDDOk2h+6KRpVziBRBb+SAGwksL4frQlYH16cGkSxzqWUbLLAJmJn0PLvo+ys+oEJk3wcxZICi
VJKWNhacecaZYHUYtIJsqULWV6hEIb86L4a0nlDH4sOPfWsbfp3O2rLNKWx5qmI4YZyUpJFzLtbp
o+2VL/VcPQykzNCIoLoMHeexbTCGTOW3zte+hSVlEThP00zOQxafuip5kRWkjcR3r1vTfs/9yNsU
/GIrgqKcHZzUY69Xzzxi8wbYKuvUTjE68hG46vgwG3W7ibpxa1lLR5KwOZLqQmeIReB7E3N2e7lz
kl1+P5ZLFniRvbEz77ZK/O+N9K8TG5W80QBPE8quGI4jqYLDk8jK97CrnsPGuJJV+c4swqdDb6NN
T/u2lxhagLHtE/w+Vhq95Abotzr36vXo4PUZ6+p91P1zps3duiD/ZlUb5sLdUfjbpCE2lwnwiQjX
Y2OFpxLh65LU7Xauxq1ox2Pk+/vIsG/nZfhMrPTDLdp7ExA4NLynIlq4CF1eJG+SL1p7NY4u8n+B
6NeA+XHjDPIc+9NnTi7xGhzxrsKHF/RtSvqNML5ZkX1rdTM6riS7tyLjk/JzOMyJ+nK777eW2T8V
NHqyIi7SsZ1t38Fo5p5Kd46TP1dWmm2Nur80YluAO6PibZTJgQGpEgpvhctkBGj9jkjjiuYGZjNx
afOG1noMDNtZ95ZqIkBn4+2Vu1DWF0nIHGIhw3ndpiAN7XG5dXMWKKW97RurCawFuwvBSsj+u0ln
VCNxloKsV8sWjegyPsSz5D0sjJqUoHa5gzfPTy09WMvDluC9u8Uzj8mYmSvXyMuVxF28jlDkoKHN
3rtqeiIPp0NrVr8JvaIUr6iZRtQmo0j2XFdaUGnxXpRautbcrAyEqHZEJe9I/+oDmPX+votHhuCD
94Hz++RNhIDWXEMbsspQNsxkXvRDuYmK6aFq7GNowLrg0wjOyezepJLxilaHwLTUy3UxOcaFVWKi
gEblR4fc8GNzzfj9m+Fl7QB8X8bJI3+GsLsyOjdiIJ8QO+2EhSjv6Sq6am11NWYvvyUpK9C9wr1G
85c4SLnBFpvNFD3TDm+4vN1xpYR2lzUFWto5PbFe00rY0T52/eguboQiuNvTDRKhI9PdxNwgizax
s7D74qpyZHPoXQGPvUlgDdOwYMxaQ3oKMMPdVJUzNagpTeMpG4VIznlZK0ZjHuvryXHfRdT3qFuc
uS0WlW/nI6/EMo/VODHc6F6QJyifjXCIwnVsLgZQcVE44QtzfCwjwsD9xzRgwpTxz3X5dV1a/xuY
W5VV8V+6HvVVP69Lg3Aey7W43jz6G+Xg/HfXg9BYGT8hQbM5UNjbX7oepBkWURgMjgnPU9/w34I+
ZMMG34tVGdcbbIm/cV2C2f3DdfllCWUwbXGPgp3wXAM366/XZVbWoMREKq7AVQOvVwSjgCjB/r1F
uzNYGZ/tIsz2JNRAgdH9x7BjZx22AH5s233rivzOBQO9MoSxZorOOrZO3npNHOTQnDItVTnyhGhw
dq9DZ+i2mam/jO4U7aQxIpdqmkMz0I4syZXZaYci9s9U9Cu9pdTsw5QUzZny25XoopJ0s4za2jW7
dTc6zJm15Tpzevx7yXhrmB2UWjyidlYCz0UdVNXavRYD3Q8ZuvCsJZxqDtr9J5hCL6RHoi62U+pt
JihtAyuiQMZIYN4mXcrdjLLrLGrrKoZTuhI6Wmi7vhzK/sKT4ffaHy8SymljdrIba6J/isqQvAdK
58jQnsfW3jBt0F9bEgdXI2mpi2wfE0N8Z/VOLGlNMKGT5w+Tq33H4sYvkvv7LPPOcx7FG53fIRTZ
OVnqV5lWcjuE2D3HuSOE0mhIusD9GE40Ti3BBXMdXsl+fAFvz1jbNU6T1+w6KwMCC2F8NaDJ9mQE
Wt2+yowax8O47PtRp/Nb/MfUwT462udxwEzReRBlvfQGqDokn3I6eXI5jdITG1yfT0lsm+SZNoga
/eyxkTNaqKx7spfxYuSgV/O1z8prz4YOwjDOoks/tuJ12TEUlNAD9c7Yy9BvuUGieyNvD6KOlTWn
84+jw6FqOPH3MnLvonDe9dk4bYqqOM7kU9JaaB+TVV8sTrl1wMXyv5EfBVYKQaO3oR4DdJB216VM
85M/FffOqdKVY5g4V4fniTOQEFS3l5+FjoTMbXfO0JAh2rfRln9IjG+zqSt2dyIbiGPS5B0jsV1q
Z8/WrO98kICr2rMvZEqh0FWwwMqyuOnTeN4Cs91a3ZIHC8qEOUaLacF6D7KlhaGVczEUIWJ6YgGN
qLrIbGubM+wnYKW9sbLxmMZo2OJ2vmyRfQtLyW1sxNxe4s7vkIHab3HZEWwc0fmsnKp0b41aeEzr
Pc7vG1H7zS0po2jx9SnZdqZgMRs79KjhZxZNHyGMtiCu8qAEXnJ0y+lROu1bl/XNqq5YZ0b+Touz
G/yrB/AOdsC6fV1PbpCaLq67XNDe2t2lbuYWvxy5Ka5LNz+l+6qbrA32ToSoubsEyDzQ2yfFmkIA
Pej8yg28bqbpxQu9jfDnB95o8EWpRo2knciV2sUZHnIfS2ymB1Gar7Hj7tNi3mZeSSyCh5zVWo5m
3X3Tm5YcC3J0jGLaDoXHCD1JT8jjs6BD+sGkFJWIAymt4A157Np0N089ttkRBlV/SIhXxV0JXKSQ
6zjxn4pUcabamBwNZhxkLpD5UzhIADPmyY24BGT2LkeWvd0czBPJopnlKyrw2erTw4jzgQpJtBfG
OPLe2iRV9Ptetu99O1ylk7eWqXUvkoi0iLk9sRimIrHLjZXxFAoCURokOUopcGf34UeDWZq+ojig
AcYW4A57PXInmmpWNNjdsStBG8dXliY2O/ZkCGKrP4/gLicNhooaXlqR95ybEHEcb98z324pqHy3
v06c4Zsw6kNoTTjfhLvJUmA38VRquMGqW7P3uyBZ2itLgFKJ0r3qRepkuAyd5b4hd7sxupvQIMq1
GVZOYzMKRw62LHhYnXZjajrpnnJYU9AvnMLm1re7C1EuW0bsQ8AOf9XUQtnnseUZ/YuZYCseYcAf
dOyOuoI0R9GNvngn35uZtSxasnWW8SicLEAMhYi2jtJNoSUK5G2z9omnazPXtjDzrg3f+zSx85VF
vZZOt0H8rG2xJZTByL587urrzvUeaPPioLAhb0+F7W8m4oSfMjNE0VYPn6nsSTkSj3lfHtKuOsU+
WyUCJW77xVgbSftpR/Om7/X6Mp6mLZGzD2i9Cb9B+8YJvJGlfdNqDOoi4T9rTvttaqaLsaDMlz2a
ZrNWOawkODNWiyf7KhqjC6vrOMat+RA2flpivG5ma+9ImT0OuTZma10r9a22dGPgTd4mF2z4bcRW
AD4pEav4uzWY/RoQAY58PP3+slzpLWEelAtU4AablxbBbWg2n25HFe932RkxHcflPJUIFJJvVWpc
V4Vxa2Ul2JbKWk2xfMdWsGaZeHS1+Uo6GFgMzq/WZUFE9tHDNGuP9VQxWceAgpBvXeest7x5vBoy
TDfW4t0tZY0yvk/7m7ZLk42du+neKkW4csKhmIJCN4f4h1HkLwO7jP/QKhK4brtCjXhZraMF+2N5
IhuP+FdwvVf6XbF6srfDdRMQLBv4r/e3yGKOyaYCzZec6HvW8b7axkcq8fQc7/4pcH8UuP+TenIX
v/7Xsb71C/ME5YOpoCeeoZRbaCD+UOAK6lqqy5+61Z8F7g+1qw2B2SG3ErE83/D3AhdRBL4Xbh2P
pIgfZfHfKHBt88/zIJu5Ey+CXEob7QPJd3/8BBnqh9d5k18LPq8gfICg69b4OLhOtOsa7YpcYSoT
UmiyHCl5O3t7ZhpEOy7w8vGfflS9Cqjx73mWuFP1BrO9iWRKRkxTPHPPOHXrdCS9T/oejsWmKFiW
jiTMmKb+LO0ucBKmTyaJPnJqXmOXWVLXf1AJbkbyBTotwvWs1+dmst7hdZCS5APykBUDpqTo92nd
7lvfpwSJKHfs7WKkG015H3R7ODlG9eCOw+VoxITSt1ayixfjNW/F1hDiKRaDvXXDkHjlpph3rZ4z
92A1vbIceSSMYth6MJQ7g2wuMyUaPL0LBxD/k2mOm6GewLxYpPB59Zb0YrEveHEXpksCxuKNuLpL
hPZa4V75Zv4d3We9mznBsL0zLNDm8L7Nq8+87qe1KEeWuDI9k4xbrRPcbZtyAIiK68cO3IkK2Z29
DeOeY2x3IBDG/KGDyIwFjUUf6quYTgMCl3/UB2IyXLs7+6Vx38T9zuimm2RK4IUuBGORRQOe3fvU
NRXUhndlikvUY57/nKb67SxrrqiwcoMeZEIwO+b9UiTPMBjWY16QZOaBjDGT5ARN/CJtxKeU+OLT
BZylkfTzJpaMsPXQvOm7+Fuc8vojin8SQ6olcMBVAZqBKku49aaAFlKlGakX+XqMKFQViW3udBbl
zG8SwfZkDn3kZWX8FM7F7dQSMlwh2V0tZr+LIsS/Tclqt5sB5o2oONiFdii6iszaMdSE4uWp6SXv
u+yB3EwN7Vn9rPfJiSP51CZ+ckBV5gW2Q26CZZQ4EYn4DgrNxDrR1YzCKnzl/qlJbPeQa4DrI5lc
irR6btIG0V6OELBP2vUEX88ZeaHjsECKyYd9o4trw4CVYI/KBomFM+oPsqwfem3YVbI8x1W1hVnh
Y94AMx7JwYeWMSo1IZI/TwxPlF4fEruOlk67MalBuZYwXUoH1MDMbzW71xVrYfbNw52X5cD3js1y
2Q3nkHJhFv4hmsor3S6vjSHckwl2pfWUrsM87AwstKu+RwlUxYC2FzxOTkqQs1ZANXC0GH449WJV
8k1LeIEBHXmBB7x31oUYPlF/Z+upMN2NUatHNZNvEzu9sfKIGJn6Q6U1aRD2vr/TS/sQ6wRpLaFV
tFDLTIKgS9ZzJMFFQHhNGApuDJxF84CzIj+P4A4dqzBLiYWw6PYIG+sB1ICJe8L39b4AiN9UkpFW
ZI7X6NOV0d4hdKGj0OE4AiZHFplB7Rnl3QVnD7t3D1prMjW45MqiO9hlkTpbk0A4+2H40sHHVosk
3pprnqWmRJrkUixsvC/9vFdqaOmbwTC9PZMCHEkMjZfkUiuLub/7oc0f/VYzL/qpB8tjk+b61C6W
MVxlXb2vou7/2TuT7catLIv+Sv0AvNA3UxLsRYoS1U+w1KLv8dB9fe0npyMjXOms5bkHHjkkShQB
3HfuOftoywoG36o0oZDGsYWVSCWj1YS3bWD0TOfj3jQLsW6UhiIUxT5Yzhj7RB3NhcjsdwbNljpE
qtTzxHyiOt5dRj2EB02d7b1R8mFOCzfF8YKte7LKF7p9X6OE5H7nJmAPZ4wtXtQvjQiXlFkM9Pqh
xONaa+jpJqgzVa0/xjRqp5VyNIvmRgkEiazypY+Hr1kxlsMIkaPVgIaElZUtW2PcU+ZmqQPDu1O9
xml5a+OtZ4aVFiPcyOCLh4uqQ1NvvSslmZ6zSP+a8R5x+6cGt89po4h9KoX1aUx8E99GEDa36cit
B6g6BUL+mB0y2rRVABO+N5av4G92kWFAjFBGe1nHMxRJPT/ZTjr75KrwYSnKjc4T0x8cC+8Ubfcz
9CQExWDJu1BhsaBJt6V/cWOYPfd2E8YjyscKlibXUqDcdRTyWuGj3hDAxjuEEKikWGhSb+DFJVki
9bYGCH5MgJnrG5QJLQe01+t8rAZgnMNVBQpy4brAd0LNuY6H4igyJ1+OiA2UskuP/DYU3avtDcCR
+vQy0R26mvMQ+5LHA8RKxH0gROuLAZoXq8tESfkZxfwkai9ac9XB8OlQdSxVh+lVdp+t591zg14D
yr5K86gDRmRsjaS8p+wOtxEHpD4kKjYYZ2KMt55VvsU86Bbk6U+mSmWkxXXXF2ZAl5MmmY7NLiTx
wV13CNHmPYCdabrzgH5BJkLEcvV607LhXsZme53G4swkssYl84CFelulCASmIN03CRN4o5r3K3DR
NYnwwNkoMGyWTp+ADE/7DYxsbWPrkbvreEOXJPmvVQRsAM3dXhT4t2qbabsd77OiVOkt5SHILWut
xHO4wT91yKA+soTHItZwpR1CTT/bGiqS0hKS7Qo1Z0TH3AY9Dd6yUQesVI2dacZnNlIPCij+NWtu
joVxwA3OGrYzNQgo0e5ZJ5FO1w/1LHY5vgNOfDSs+rotMBiaxvsISLJq7acyDZ8wxdl+Z8S7IK+e
VFb1wJsvg6sfjETBQsOySM042jTDq9QbhKN/ejiRQxFjQXMod+nUS2HKmzhYNu710fKfsft77FaZ
kv/aU+N/Zv9zwnnwHzax8gt/SMvoxwQeiEX8qxX+p8nbxD6so7chO/3eZPJj8saNrELEIExGLELV
JZPij8mbSR4ZmMoS2zakWP23pGV5Mvs3aFsO/KQ4ZA+bq3pEOWTG/WdhuQtE0mZzoZ8LLGZqGl85
Ybo0+mn10ztz/v0b/tymyLz+ywvxmyCqS+cQtGVqFS3nTy+khGrKWJsOZ8uy010Xqq65sma6wuI8
ZmcbUo85OPjIuvLam8RVnVb3jt5w62yBIww0Ka9SsheHvrGQfUrEM2PqiGpZUDSCoXkCc0gswqUk
OZJW4ajNLhUvuNSr7FyqMad7h7uiW+u17ypSy8blig0VzBdnYg+TNIcGetQ8i7Ymg54hZPA16bzO
F9yEIe6NeCXNR4hxR88UHuAf4ykys3IJYfhClPBWyalBU6xTF0PTUwesd7br7RqPuT/IgdF72n0Q
uhlb2L739YgMlui7G4s9MxPOo+c2n6CMXsJ8oi405wkrnIJ2gPhsNcHBdvJ47TjW1ibgsGmjhr9Q
09yXdriNXRPwWxQdsKa/gelIUeLAHtk9vSlZOVa0ikq/K6RVmEbzC5WW0kRDk5mLgDhlhBsQC2pK
ToWj3TdtCB0oFwt4ZrfQMzaYurahHSqYqtucH5RBKuwKbNe6dVEm5uu8q92l4714HYhd6gFEzTmg
FSbTAYZJgC4Of79kA1z3y50YsVXbOpKus3ZE/qGflvZSA4Kv00k3Tq25GCItXkMVOtdZlKw54mzm
3DyGIVJhp5kbj5U+7lxyN4pt9X5V0xaGbRr3+y2K1+Qbc/sQ28S5wxYZ2+iySzuIHb0Nvd8Y6jvd
fzwsh+khYybajMZ8rY/ksdsogX84Nx9apn/oNCsvUw6JyP07Im8wp+AyYX6/yVkRkAm0rxyDFjo7
K97npHqKHPaQuV3e2fRS+Gbt0M0sjA2O76VuBFJ485oVHzEy4iYQFY2dwCsMz7BZz66CkmnZI8Q/
dUxjKqv0Jmy3JvOg3ICvNXeQRlbam7PMIqA8aUs1AGxrGh8DY3ZsUXc4wzmmqbfqH1LLkHZb1gZI
YjGlP2LUYj9N9J3ByUfDud5JirNbvwZ2fKulyidrLU4xXntDS5o0WPfY4tqOQPrglwP4TSW3sIoP
/ZXLMdFX2KNakL2wy/Yx5uFweLYTp6XBuTqGsRos22rcEuJfRGZ7VSWU/HQtJ+3uaQ6gQYyA3/pE
PSdNeUxtLlmjSM+Zbh0yRdnNGc74KIyi1TxOZBj6+MMeppxm48RYjEK7jTp7MzKBpDN93qPgpGpX
T0OzghqxY5A+pJ2ynWzndaTlebZ4GhIz5ACXvWTmpR9ajN9iX5HEybBwwEhc6muIyng9Oqi/xmoA
oMqsvW40VvosdPqN4STdWiWaRSuS+VKY2qIbywG3QcNJcag2QiuuMTM8U/eOBX0yH9iouUeio2Z9
J11qoUtd9LbUSSr9f7fRX2USeRflcWFinoFWTwGG3FP+fLsmkWuYwWRPZzoenYW5CfbjpTyily6U
1+IRUXyHzXcRHDiiCJ+++t1/v43/qvP96+VRj4jWsdzE9PzryzcBqzDFFvO5d16rYOepVF6OL7Bq
F3//dXRVI5Cjq0gW3x0zP2WfvY5nVjz281mLryIO41n2iV1gQBT676/z69Pv99+H95NnoKZqDiSJ
X3+fGoS4JeDsnW3r0NjXlQFU2nz876/xXWT670fsv17kp1/mTy8iIlVtdbqlzv26fUBFX/Vb9cP1
WaWURwkGWtzSYL/I1/r2/uT62eLUH+P1Q7sKVjfJflhs8VhedT7/0C/X/Ld6+O8/n86W+qcR4Pef
z9QRBQ1sYh5q369vQibmGfFf1c4kfE7BjbpSj9pjuMfRAkHYnxb7Z20zLk/1etha1jI/cPi+Yduy
pg/sn0Hy9+CavFD+epC8+4xe/5NBQX7VjymSqY9RD5QPTgTMz/yRftiyjd9UsAPULrtI7wxxPwwK
iLQmXUwuZbUgFH93Af5rijSgFTCPYfXzdDp0wEz/HYMCA+0vHyKSa4TVQBXwWh4NC7bzJ/22yNgL
ZPwY1z0R/NYnsEYnhEqfKbkSQcBE6+issOSBLyAOMsoUCqsPGLUEUzortZcVSiyZ/+mOeHu9EUnO
cUXD5gYgdpUQcQm/wy7zd/DFtkuh+AZxmBaU3y1k9mFjN3ZwFZmTvUtGx7dr3VhWTt8cMXAIcJQ6
2BNHe+uC9kvF7rWthoJiXBnJscs2XXGCv52I63BqtG9qmeAJU7I8agb2t3FtkiAy6RNiZ1pMXuUt
cn4qd0zXSSiUrSYTQonMCrmEhrRCH6k67Sko7YqkZ6HE+BLKnFFnUHeVyuxRoCcljzbySJ1MJjk0
xC4qXn6OcXA19IvxKjjCZrbViD/yXGsMx8wJrpMy2o+Fvu0ahsSu0Cm2MOqDHQbcTLre4hSa3JZW
i/eoJE+rsnm0DcCVeQ0PlOGKFFqDysTxuInsYEVbpgRHXrym2SKwuzurns/NkDJK2d6jUTvvZVOe
alY/hACjPTb/s9UFd2HPI33A+90TZ20qCuyEd7TAp/ng5BjpCtPZVFn5lAzZnmre5zHpaHH1lK8x
dKOl6DAJZv2LVXifVeHUO83EZ5AUnctznbeFpBjRbOaBqzgmMZ3SKfhCrcDZnZKHVIVZQb8eI21h
jSsFfyQ2BOTTuW0fsQY+uzY6LYzIVRpCgZ3COIJCUz+UkLvXucq8i7Ur9Ft1vCtlGutbvIt7oEXF
rPVMdQrVAqY4V1LtYwhLVg0CoFl1Tz2CYB4W+EMN7aOSWmEkVcMiIO0ndcSwcPq1LbXFuYZalfJx
BXmhMvJ+i5Cx1CMr09gpUqEMXeBHhltyISBfTsiYJnKmIXVND1DCSksoaxB2+4WH3OannfIl1361
rKQ2Gs8ORdSBt3BYOaBNcY0EI7ihXqqqAUWRhtRZAaRvwh7lNXLHawMpVkeSZdF8bafuTkGqFfoO
u38wHD2+Z2t2l0qqujbybprbj46XEw1EMhiMZPIDpOBUY/6U0nDRPTlSKy7HDkJ2UnmrFuAp4fjO
W3RJsS7T6qjrYtPC8G0Rn9M6vOpwAYAObpexzq4YmdoUoIkdqVw343idZ/q8d9XsOULltmxkdlsd
nF1SO1e6l59iFPFMSuOAqUAkpylEDSmchxESOjp6vBOo6jrquobKnkm53ZXCO7Sie9OxHkXTXutS
mo8w3PujlOstumX9Rkr4kRTzFUEGnJgpBd7kWBUU/8EOHqmsLliZM3XMbAVmuR5AXxk5A2U+I+4u
mJvPWq4TWNFCneKwpMpVQySXDh5v67JnD0F3yE03yBCnXFHgcjL9tG/sbcr+goP5wWSfEUdEaEe5
4sjYdajsPGZ2HwGbh2Uj1yF1B8gM5OMtpMxnDdwFSnRxo8slCuv6L9sTm06uV+rCDSCh9zcNm5eA
DUwftUf1eyVTuXuw7BD9nfwm44QxOrGyj9jjxHKhg/V0b7Ph6UMJ6Bh1a5nUGSnGYkhXmVwJzWp0
nOWSyILMDi04+wrn4K6uQkpFNclClMulMUo+mordesnaSZULKFOuoqC7qIchBFPcsadypJI21/PN
JFdYilxmpTgyRyNeCbnlYtvleXm/Nqtmb7kWjfAatUG1XI4Z+JCWmV3Cesunp5wNGjLCa92O8WaU
yzWXLZst8nuyHFczXLpFoZMW6c015DBibO4BF/I2aQOyy3yI4NHBeYXJt5kc7X1mu2eF3LPpPFtR
Bk8movlkWXPs2AfO7A2oASR0MVGwysawdAtwaojg9LBh7VS3DrtFlRpUU7ZvcgTjzk1RWIx0i9Ut
43Tr3FVsKGfT+kw7bpSxYUscFE5rFch7x15TM1jCjK133XgIjzq7T1zAtC1kJuA5qdlJXB4X2k1j
4YKynbncUIf6yrOzWZVxROokmkoO4Qb9Cq7ibhQKejZN2zzFqXaxChig5ezda073nKSsWuBEk8Bj
sUmpawWnZ4RnrbtvRuASY/IavELlG6Tlkq1e+UFXI4aYROv9Ar/qqUgTyw+q+swzD0cd/28g3tl5
GF06zN9GpZRUbYsPoo7g+Zz6w4iK6yTx2mUAy4v+k+CoVVh7zHCK1l7p0Us4dia9S9Snc5XVNL5a
p8hRucqoHybDCHldhNvJAhztcJ/E8svutrhM5RxtYiV5gWbxbg2YPKI839BisWGO4G8Q9BcN/PGy
7rFYzYqzqzoiv9zE6VpiNAKXN08snrT22ptNqEr5V6qm5ZIa8evRCcjRKuGVapA/9brqCwQ+sr/p
PQ+loq2UOmdaLmzIrpaFb0Z5UmsR3DRuceRu3nrB0cSwF8WmpSwzgfasdqlXn8osKzGBNbEakp3G
bkmHr+bV0T/tL7/P0RoHuL+eo69e008m5gIA7PRv0rD8mh9TtLT5qjK9Qnmlo/6citGZorFAaBjP
DcZpmSv8I9xIeStQYnifDv8TKy/f8I8pmspXiftyAG3aRGqsvxVuxFT85yka+wM1x+i7/L6cyP50
FAPaohnkYjCC9ll4UMK8Di4jxS/1lrBZuhlMk/utg+RXuxZFBFm2MxvKMyyhWNs0yMtdPun5cUAf
IhWYgTEcifAveAYSyMu1K9eSg1vCZJmCUlS8BOTmjGYzZlSQ5CGfaEgI3ux+WvgGF/1EV0UQmHMO
djM8FONwgJa1VlysxbGeiFtUwZ3ej/ZLNvKgbJPIW0Ef32RqSflktRn08LbWCgqWbDJq5N/7ZZE3
227WTl7rfTqBuIkN95qKuR0ktktMdbtStk9K6FaHIigPdYSAGpnxTvOGpwxwgqtEl1y37mlgoB7L
9TBJpEZ10drwGRlhZ7jVKlGDZ8PLXkUk2y97Op3Srh/QTBFcY9KFGL0JUjZsZ53SO9SkFClj1g/E
/U51pnOnTcJjnZuvTdRdd3Pxhb5psT+hCK8cBjwB1T53UmcJrHkLsJp+Mzb3GtWp3szdIdWTe6cy
6PRwJkoNlCe3iW6mwUSO7pKdCKnZrp12XnkTgEW3QFLWAnuZ0KupD/VzOoWbtGQAtYxmXocTZIew
it7pqmqWU6VZfqFNG1uJ9xlwnw1oy1NRmSwguyzyyUk/VEFkAuL6EqQ3tnZqe2w5a1QDUin4br6U
ka4Iejev6wyP6RzHSHlOfedi1LtSvGybWs1Nhv5I4JKIIIZnfAjO0goLHnJqOL3QN753Q/PDsVoD
xCdYaK2cn82mwsplvtAieFO7yh00m+ehChrWvdEXEjttugM9qIjAp9yZtinhzkVjai3y1PA5uvhM
Fc3CkVeF60QX71NElgiZYu306fvERqEkA090SKe/5q1nT3I1WhagnlzgTe+QdbBvWJO54fe3tzkH
ODhOVizo58gb7M+d6yD55dwNfE7OBX2sAV+cynd8LpBLYeT7dCLFWAFU2CNBSotKUUXRdurV65mL
4QbEs7MhaTXcVCZ9yeOg7w0jMTB4enTu8DUkm5TrJGQOcka1XFGFMLAnrA04ItqkrpDMx10OyRv0
XBnvXXcEj91bA49sQjlTxO5TpcJ46PJ3Vw2vcdnT1KdrR0OwP4Y7czO1mAnbLDnVNo5TXXscXGu6
UGWUPhdgYRZ6DYPTACGkBQ12KNKg8siHfQc/bo/BcUG5O+V1EmHn4k7e5DphfadgRNEG0Z9y00TC
LTlMKNMx1ftVinFnIWA3SSuAusC7/dYIZaMZ+CR6gH2FLeBcWu6eQ4+110ImnJKykYXuFs2L7tRA
4gp3WJEIxWEb192iiJwMuEhTrZUqy5dzN6vvtaY/JXlOKXLLv6XOxt0UM0J4mpKMKnNs8i3cmk2f
Mn9ouvz7BhzBZyzY7KY3NCWcYunNHlgfJUxE5JPmhcpuU8PGrWHnjqWvu/x2eGP1JuruLscI97fh
Cv5C+CkrjOGddIjnWMUjKzYJZ+EeL7GRu9JPPlT05WAwVzGaCwznc8rMRfMHsWV05wJTeivd6ZMA
Bx9jWA+qamtjYA+lk93i4eFXCqhg6XLXj+6Y3+Xf3veoPzOStlCrYo9zKw75sFa31CQ9TljnByz0
InA/R+mpzzDXd9JlH2rjxrHNy/eD8Z/OWA2L4l9PCIfP5j9RQfmaPyYEcrM2jePo6w53RSaCn3Q2
OFByS0tNgW4D8Ebi+mNCIBxL2pZyABUBDHkOWf6PCcH8zs2ysGWvqSGb/y1ClMNP9pNWi8zm2YRS
PI8gOEMHI8yvWq2jVaGq0cJ0cloHk04fN+QNIj3zufI87izuK2rTsK4lfYe2msTEo9e6YvJ8h0f2
M7hNEVxHQSnqHZ63Kuc+nAzqqlIs4Zwrs2mGczFUp8pI4zulGXSPdersrJN2bqGvRcmLgaXrZip4
VlVqoGur0BtKYo1FmcW+bs6wbOq2Df2abmyxMwMlTwy0P5l3yyM7GYFlZ7M+zr6BvBG3a70YY22f
53C0LyHN9MomBueorzpWZDCiQ9WPnSLcjH1n+1C6kw2NVfVqqAONu4OtrYaxnimitpsHovtC26be
ZM8roxXkEibdm8dVJgy7Bv8nkaWFWSktuZbZPoqJ3m6/op/5EmOelyDzKlnZxdRutCpKu0tqZI23
smU5/Ej0Rd/U6C2rKQSyPA8mdpWqDlM6wsaodHY1xUfq6p9L9HdXBdrxX1+iq+x//LKBwP9/J3m5
BvpxnXq/SUmbkJ3JGvlXTAmMXvYZFtMy5q9vqfyP69RDKXewk9q6KT0Vcv7+4zp1qRPRmQRwsMvx
HwfH3/AzY53+84Xq8n1Y06nIAQ7UlD9N8nUYjJai9RD4zfJhkAjuHha3gg+EGbNtzsosQd1sjp8s
5EUsv5QKdg69e26OAtUqfbGfQwhs6czCEg3xkf5Wh6eUC1JEI1swm4zqeTyjYDTA1TpTlEw3Xr/k
8hvocKWBRMLGjdGNQJY49x4cclasBLSk79KBUc5iKNw2UMu7eHwMBlviyKpLU0aw38l4bDU1fCc3
cjca6gEi16lUIygSEouuNom2nizKgyqY6dkQbyYJUUdfOGA7fA46fd/ZgHMjeOsqktI6rKnpEgPz
BJiyNxscyrbruBc0I2hKrxw/7dL+xBSe+IC60M7r/uiNxlOhl8W+Ehn1hjDg9T66iSQUnh+TvhP0
SZ6frtE7S3JVZfkwJhNtAaqGUhnQaljZr3CX1mEJnyiIaDmxKBzJtNVIAEQrs2pDPdGH0wwofWm4
hW3iLvLeYoinWMhPYsVeCWW8xieKHzjUH+LAPfYGai/TGRkTzUUZqQZoaUW6yfphZ9jdS042eFEb
XbuhHPB6ns3h4KrTg5uBBTuPLYCOqhsh62bsh72rSKm+ZgFBN6C5Y9UmwlxSzRSTlM7GTR5Trl3H
iber6im6MVL9HsISwPaJgUHHHj7j4X6eVWdR4Yr0xJ2ws/DUdUW1n9WcGxV2wm1llashUW81SoXZ
uLvc5GiXXqRq/CBbp4GFCXdhKDTdGqEj+6iq0bdKZkZFKc9hgl/NJpfIk+jOUYDkDAk1BwKXUGbv
TVHwFgOtQRp+rKz4wzHyq0AhwiX9ryD3OlCbing185ZuYdN4pm7vBa+JtSBKtZk8s4S5k2x1lc5q
p8QQKua1ohvIrWTnJ+pUxsShaiG9sgOHACCEaXeaLjknMjUr0SmFay9si5RSlXJs7ZXkXbOVJwvv
PeVkt1nUXU29ckeV+UvH7hjHjLeohXKox+akGsH9WCSHaWDFVAf6Q5gbBTm/4C4YnUOX8A5Vemiu
jQoTR+p6p0KnPdUZ7m1VmxcZ0XpcofhLnFh9o470dmiSUyjPKIEsqXD660Ezb42J3yUPYorJtJ3t
UqfquvuQeghhDweetm/h1D1I705YWDAFLZlh3RrMl5UKzz9tpydLgMtOQiVfpDGgLG5zFdOigjN0
AnwWjD2kn7h5atp8b3j9MTXov1HnB1EA6YOkagB6HXZVY8VLPrDgCpXsFqbfW2Xk3tZJM5ZLtos7
n8czlC53BQyiXcFTytek1beYiYm3VXmy47G4HFsSqjpis7zjcpfSWK+Y/bkU2HH0ulPXop9uQhWj
sqbWW5W3gHvSjTHZx0R474xFfLYc+163zaNh4tI2BNs/CKmwduQtrmFvgXX0onvFOnMiescrkLIt
AEl4JNk2x1+tZZ2grbCzl8wQj2IOL5pqvjk5nLFQd49pHwW48hWFQSW71RwwkDycteWkO2967KQr
jf0kiYpqNRkKuaRYp0DXJdMI56zp5uCS1DNbska7K+K+WAjNid+rSDnZZd/j/OYeEcePQ9SjzUbb
3HK/Zvwgqw5EMABBFaBjjcoYt5biLTCR5Y85pMzwOOswRTq7L1dAtQ6W29x5shGgkd0A81y+0IHJ
yZgQ2aKjQCDo6QZw+vbN7hTCU6I5m3F2iigdMCgfGCkh0ARtBDSE7pmgWDCZ2Up01g3lA0fhKeCe
ZJdBAhnbpdxAVcAmNbLvwBoCSBazuDOoQogDWFlUIySyIyElj8NPMz95sj6hnh5yi2PukJz5PPAm
ULSQU7hAB7FK+whbpl4t8JbSyjB63aWgpkEjoqJS22Cq433BqBiY1tmm1qHyzAIkFFe1bHxwMhuP
kmyBAGesg/rj5FaotEdwj6XZstpild42skXC4SgbJnbHnYiGCfITVJ5/t05UyW6WPRRKSjlUIpsp
ZEcFuFJ9B2Qw9imXFKtSdlmkKviJQfZbhKRuoaQmvztG/jk4qUwofz2VrRsWe/9pJOOrfoxk7m+y
GMHlrGPIUBjT2g+Lgvqbp4EtYKxS+RfIpD+OThS8gVyANvftZf2e1v4YyazfUFtBxVgOJy5cOn/v
6PRtQfi3D0eenXS8+fQycXDC5mL8yTuV5qBHxy5wTsHY7sOu7otjN4AHWCZ5X1USdS3mDYvDdplH
eTg+lF6kTrSIogjxWIieR6O95FE9+VFbsD3qxAbmlo8pDZueWuiAsjLiK17yRgMV6bDCogBaaWu/
mK0T0TyWq5nyDC7/Fpju4yCItt900GwvgE63HnSSAkV0SdiHBGusnPAJuAMpEJD+uRI+U5YbnYNv
1kmUsaRFZcF5aA70zyzsbzIKjaNQUmxHMdYB96lh1X5zVOpvporgQdxTAzQ8prpkrrRpuY2jJJl4
BDfHITH3g7BuUfJY9jrFgzpnd0KibMDkvOs0lbJxFuDg5nhJqJT7mfEWFQlSk2KycdMf7XF8EFFM
TJ2BUKF+WMm5BYQyVWVWleYTUAXCWlDiyLJfrkRdTJPpix5al9Qd2A1Vlj8p8YfuOXe5MD9Vk+Rq
m/OmWG534xjskcKxr7cD35/cQZW+TEbIc3KIt+qMYbGWvtM8c+84iOlrIkQFFLNOoXBb30YdBaT0
9fr5EO+MiEpjK2fdWjTOvGjhIK10dp3cOCZS7bpMVyNSGRHBHVPflimuS9g0tFJPo76beg3HrFA/
VPbILhT3pRJYwSp1WjqfvdcwKg+25xxag304cjaJ/Nm7sEkifB216zFQPiwPsJQ6Ah+vTmEDQRYy
sl81xNjyQkLdguqrK9EsiSOmC6Hk7wOwI9JTxRMfaSIXXu9sbTn68/G6MTX0tY7K8c5KFObG4Jx5
eIpDgFqsxumxVjBw8URdqGPDRtfqW0lPJrRfPolEZ3kfdvuOv2DXijW7NbaolslqXa3L1VzQONFP
12NtPWptd/K6+I5QdrqM1fYhD6Nb0BGxX6lio4W2suOmTQIiam4nJ7gD7Xoz14JLRAPAN2lonF4c
T77WBGcRzNuJQk7AhMp7UysR7Pkq3UwWD6lZ88ijC1wJodVuXEc1fVLF876snOsESscaeW5YVqIw
lnmfdaCIhysr1T6yLN7HcHv8po2PNllMAnzOYSpBuqoe+bIJeLvGBeCbWvJKKeywnrzu2mvMp16J
1CWXer9IptxeRsL4ImIFAaIqSZ1XICic7cw7s3CccSbLxHK/S/t7fZiLrWLy6QzkSNdm8Wc26TMP
R+fJGqyLjqF315cpBpNG33FMNHzDda+iHjS0beKYVpFd10OdXMeh7dtKeptntLdHfLaHyKFmLcGQ
lHtnPSzqtZ1xnhiqAZt2AwaqLuy7QYNmojbqV6CbL4CJ3lXDksEbnvMhsKpA0T/NVnn4BmLkef6Q
D52+0j1xmYg4bmI7fy4n82Ap5QRBwJ0ojd475mjfGDK25sespKl0rt+MoaDGywJiIlvMhFUfbWXs
VnPK6aqf3xpDf65dz9h6qlxleM55BgRFgWLk+mYD2tk2mYG9aHqnCAnVxekuADNgv1ZqRn0wmVLh
pAn3WuOlQt/scioYh8il/koEg98I/NRJVRX0YqmnXtCehMX5s5+RsuhvPiaJ3vs95gigLAV6v2Ky
oSa6BAWMExsE53d85vlSa01jqwaDdYpHK170bT3i/4e4ZOj17VAwwEyu0620GeU7Lkb+TrA6QmPy
Ywvfy5RE1TF3ht2UBy95QVAsVyix1B0sDCNrpmXVJO+2U3AKC5J5ZRXBOjSNaWsXTb0rK3Od0g3s
R46drV2Xgx/3w3lDx/VL41rrolGg7wabkpH9JlJiTClA26ibGmjL7iCpQZMAw0GN341d6Bgnam1X
h8YVjM9w3eWJu+GcTD0dziDoORPRXCE+cJXgTKo6Y69TZru0qhl45BgW26go5vt5yPnbDJMCQIhF
g8JwDwyH4gSr63dGztpG09wZrGZ/CDNvH3jzgRhUTkiJ802QzjdNLltNnYurOPbV3HLSiwSVxsz/
50pEd4WOCz+dtWxdGcxhIlIagCXdu11DYCWb7G5GlzTHpIFIpY1sJLEanbuY8Ekwq35axv2mquaD
0QVX9Nn5KW60HmznyiDsS3kvx23E9pNnJe9ukb9lbYAgAQkQN5BiUQZoUR7mTqvADvFgz5iXVHV4
0ET6WqbKOWviSxqyXlPZFa4SySRrzOozm52vEJzOujPMlrmS5KWAHU7gWH2uYk5fvYhPgSfKtaGp
vT/UDenRID0ULnHrZEzChzpivzEEzzaHqYXOpetk+Rew9WfLwC4TdafqOxrAhiewdG+leSyevDx7
EKVL8CXG+K8TJpzVSvWVDB8ImFRw+ukhA/G6NHmm4prkBqZp7MvarSOCKxdj0IaF1R6OuefXKU3O
VvEIh++ENRDv1JTTUJqYS/6g+7rVDlaWfyiV+zWMHB9tFJSiVqgMTz5JwqxbUXabFp4K2T6xwNzw
AGbqag4PORikRmCaaNNXTyRvUcvNF08hGzlnBy5ffmrccAm2Zj+3Aye3lD8PdBDOje1hnPk8x8Dg
1rpufhoqnWtkgi5xEvKPuYET4ruKG1yPJgG5pcZlt2Fye2EC28Vjua6ZdAhw2PvZKvOlqOJru3YX
gTc8agbfHAIGWLXkkKJabYy8e2cd9xjSaL+sctoXgRfKIQbQRbukGHdjRRpgW9c4EbO4bwZ8PFWr
xksFB0tF1crEyR3DY30rULxR5yxCl2a+gbnNuZQkv62RPOV04S5gv4ZrigLQfmbSLkaDJNHX/Gpu
0a8i5k7sOjFUW0NOD83OMaL9MCVfkWbBtRrc64nteDlvWo8GSbqwpsLXYDgp6V2UkZBVTDNf4jHY
JEmPzdRhkDHmN8MdyOyFb65N7l0nPa0EKpSCqn4FfwUARh8w41Qsqg5cPnfhhKzG+e1BY8U92pB5
WwyfWyPMtjrtBD2xU1nJdVPYTU69IO0uwwqTiqY8Rn1Zqkv6JNtmTwBmkHn7oXf7dZn1ynQz8dcp
VCtWfJMmk0VIKDr2XS/dl3Q7Lsb0f9k7r966sW1L/5WLfqfBHIDuBnpzZ+2oLL0Qkiwx57j46/uj
fFwly2XXLeA+FlA4dQyXxB3Itdacc4xvSDxtUrUawTHNqlxaSlZUzLNY6pchKTJ6Grdzr8vv4X/T
hrdJgOqErxBiFt1oVXbV40hfYm14K6PqTg8tY8Ywl3caNjBsnE1g6U9FNpywDRszBnkxSSqgtjh3
oXSNdfjEfadANMjBmwSCc6HMxkZelMn3N313nM1bh4AzJ9iVlaKTeqbPh8Y6dE14dFprN7GmJ/zB
kwJOp3b0HcIgTjd58czeQiYFUjgszzd1GOrbppVfURZlqzGSTSQGeLS79lSS7M4hb2RSUTDll0gQ
Mr3sa4UJXzMDgGdyPi7L2txhw7xUY3KyGlLYjTTv16y7O6fHMyQMNjsSD9ZtxxMdqVwQ1ptL/HA9
q9FeVdAOZiRDrAqV066jxI9xyUg/OMYFag8DitmgbYyKHATH7g5AA0AyFM0xNaKvpGugBFCE24vw
kPvywXDEMsm6g64eTVp10ljOq0ryt52c38W9v2mC8KGxmpvCARkZjfLCJhHNtK6wCLmcew+iVB/D
Qlk7RJAttdTfjLBXNwi4HnmBN8FU2lucBRdBU0BZTqVHPc27u3TErpyX0cWAEhOJdJRDNR5hmyHr
LE3lvuhkTDzxuSc4LS5sEi/rhjvBeUiMfBdqwV3a0wP9d8zyPmYxGEn8uqB/wNP984Rl+pnv5byq
MBGRHRuYBoBe7Nkfynn1C14EmeGGxRhycqD+Uc7bXzB36lASFZsN8RMSUWMKZsIvdDAJGIib/sGE
BVPB5wkLBxuOkCjRAZqAr+FFfLRCNVWPGkmNhmPRwALGDj+3vOq6URnJRypcWkwt+XXYKQko0TS9
qluvWkuyAhZs9BQKAnS8Tu5NZYR2IPldXgAt5WxiRa/aCN2h4ZhwEZTds9P2RHgK2qNxmQwnx/cx
mqaZ5Tqtl1/rJERUMvDPhq24CwMc+v7UAO8z/5JWNx0zZsILvyOUpVaUm5TD0ToBDbaKEPFgPtqQ
In7tl221HPRIxbjJXpcQGuMC5H2UZLOnNWDfZqMa3lDv5PtAFdmyGZ3WlaYocxqb6jFUbG85yI2z
Bt0woa2mLm3qpOu+sAht9DVnXWRjM4Nbcp8TJ0ZNTkrIFAvR4gsgOOKhNwgSaUjXcWC3I44utnKr
U9f68kL1u21cSRfoZ2/5NPdkIiPqbPIpo7lNyWQNHo1OhytH+5LpzB2ao7vJKE+kod9TIIVXjQ5O
DVAY06hMsVzT99fxSDEvmemr5iPIwYW5NSs6ziiu6G8bUbRsJMNfBh5H4cwYH/iiI7qHxVUueQc9
Ec/2GK41D9G1XmhfPVGfWO26HZT0SXjEalX29oHaGzmpNx6MnK+0YbZRih5xu/asatUdWPcXyaNW
zINgGyfD0ew5ciCFbZhQyDVmZHVjIAh0k3YgKdF3yIuxG1dNJ0IYAMMhhWxoaR5tyuCh8MczcU4w
aSi2pWGUZl3GxIH7g1Akm8yToyagxT6jKzDExmo40loo6qR3bV0FmGOesG6zsxmvEsoUill9pkiC
WR3iPG+S6YHE3naTcM+aJHw4C3faJOpLJi6HhyKAkpkjlDDihV0qHFSkUb2sDPKFO5tINN2PX0q1
0BEchYLSEqJ8HjlLKNnYlOORDzmsvY0k6tL1qajdngfclblTNb+4TDLqoi7UN8i1pnjmVL7OAq+m
24uvlOgS5E4RxybHTKcjOkcnmS618F6FUNfQ7g0ioIzrqvEwcWSNa8Wai7f9oNcGMW66ASCwb+UZ
TeKNRGrm0WoEzhi7ahhzhuYS8M5VF+e56zXGTg77ggOdcFzEPtsqacOtItAJ6gmVUR7yLTUOIJ77
WvGOUu8v+9EalrCyV01Jm9h1UszTmGVnyI7ndpk8B4mxtHPKfJXHpCisgQ82fSyCejtYfbGJJQs7
XqgoRwj9U5iBFFyi2fW3mY7yu7W9Q1eSfRA5JgxJh9FQ1nGfd7gIPMBMQqkRDJYFEGwx2nAfVW8t
l42+sOtcXwmfM6cslTXzvezCD0ABCr/VthCMxm0ZKdJKz0t5kZfF2WTYtBxjsZVk/76QUu2kRiGW
eCaPGynUHUKwiq0EFdwffA/pevFQomJ8q7N0TgOz1c9WFL2O0QguJHM0PBv/7p/v+6dMf/jX++cq
ec3+Qko0/dCHDdQ2EBKTKac76ntn+49+uPrF0Wydf/6TofnnBoquQZZJ+/2uUfgT/IBlT7NVfhf/
g10VB/A/2UARPX/eQCfcsYyfENeezpP2aQNF6mLhVLMdvDEVKUWGMharSsv97KxJWaAujCCtvUdm
ftWZBBTW6LRDNDp2zs6MnF2VOTHlVvyMSG8rKLY7tUERp+tMZgotYQertHGTDVq5aDvnTJv3jVyj
0LUq4txbFX+Cik8fE48BSZswIptQoqGQ1lKYPBsVKVhWlO/8qD/HU46R2VRz+qVrGIRrmXYxcV2Q
YZxcYp4kVvhoDiodBPC9lLBTTlIri7UAEwvyRHmOUgBLpK1vKtu6LwhZGqv+hXpib8MRN6Y4L/PB
qaJ5M2UzMTR/BS83j6fUpsjBIRRPSU4jw0X85Zmrdsq6JOypm1Kf+in/KdakalFMmVAyVr1FS8oM
CM7xjo77Hj4dhrUpT6qakqVUWuqBTm6b1vrLakqfYvG3FhGBVADQkSGDKih1iz5M3j6khFcRGEPX
LD9iIAF2kXrGMq1JuiLZb9NP2VdOSJCSglV/Lvd6h6WSjCyyhLU5vWNk2wRoQYI6pwZpuj7ZxYEa
fRVpZ+POmaikuYc4AXu75ounTG1RrirKG6y5rYJHs2/ELmLdZAOisdG953r1JHzlU9aXmFK/BuK/
RmLAUinr7/k+LxrjcUzNPcoyt0sS4qMi4KHeVT/liWErjOo5jnbcDpDfWsrAMMYFUXyzRBCljD9i
8CfeWW3rVEz4J0I29IFkudLZq5YUbK04ByNG7YDhKypQ18phsQo827nySNJi7X9XAJc57fRukgUX
laEnsDARC7NRcNKwskrdWUnS3tk5aFZpjOX7f5fD9+VQ+a2Fed2mJO59bX4uKaaf+2NF1L5ME0Di
Nb+5kVlx/lgR9S+shbgvDFnTweUwPPyPaAsIpc7QzkCdDAgAIwY1yn8mhPibZVnB+PznXPEflBSf
JVu6rVKavOs4gfKQMfWpoGhJTbNyoz+18tYnSEpc5vXqwx7xFxicbzydP4eQvAvKJiYXDq4R1USg
Pgk8P5ANFObygI7r4qT1UGdI1zBqOBOBpmbaKZDh+k5UlCE+j3lo2ocAY+A9K4Qan23ZEG4gp4NK
ylDh1uTblsGwC71kYeKdG0OFhvqouUIkJ8+Q5kkO07l2iIPLrxoZ5IYIlMVYWpdDWK89USJlhttM
NIQyN/RyKxX9UbLj50TETxKBjW1RbAiuu0ebRDssDI5+Uy9sNdlYQU1s8VC90RvE5Rv284QVC9mm
TkkC8WLWwLgqO3o0rYUdAk6nVru8vXvflDeyw+lVU4ptOWSvSY2Dwxt0RE3pq1fINKvSgrJCHoiZ
JHm+SNqd11hTFvMkZuixGRaW/DzU2VbTQXcqenbdKT6RE+pNNfB0q2FzF6eixoHZv9SmvhV6lUEK
LvZZMPRzp7Q0MrM8w/Xy6qoKMXRbet4sfKHtsfYioqu1c9I7Pntcey9F2nLsrWFBFUC8o9q8RVbJ
9CJUId2X+SnL9Qurr3QUHGU4S+IyWpvywHrWsKoPUZstwkJFEdNxVtSL8U7BnaNNPs+8lS4N7Gvw
qslsSfEJOnb8IJWVPlM5dToElB2SpldcJFxbkm2othRk9Yrt7/zmBeDa0iGBLEx71dUHmPhOkt15
I2GoXokrMfeVbWW31bzprNVoGS9FiHCnF9VFa+kvdp1y9I3CNzul/eTr9jgvG4f603zTQa1N/l4S
j3vGJtE6IK6Z/qTt5n566tT6WYkiorN1xqoAkjZJGDNRIysgtCdxn4a7R6+bfqFLsuPiNzwhSrnp
fNLrpaQBphdU0+z3CqdfOc8tv3UzD+kRimNMp3DxptXZsaMrFX8Ocp6JbN3dxRAHAayYb5gHHw0F
VnfQQ2rRhtibYQKM91maVFDKw8JlXbkhSv4q041iG8Ta0U8sC8pygEUW3HkXJdw9fdku7J7Pw7LG
h9j0oPawf3dR9qqTWbvsKvkm9hP6fHggBkDvyJIa5j/SWyPZDwSPokeJIctpClP94T3WwxrNHLWy
Rlx98c576fWq9NYFn4YDOKq8Nvx+nHGu4C53kvgmljVnY4xDdDK1/rosVfag4jVFnBnGRYLqv/iq
NCVjXYY8yHuYRsV9cwEFO7rT9YbURw8gonmLlWVYiUBEuzSn3ytJl1UbOdNJIymJs0mrfN719oUE
unVeOUXu1gk2RUYiro8xa8i1PfUXpnJGUBLZngXPJpb74lDn1n1gG68QUMsZy1rJVFlZpklBcK+4
4Dj7JA3tRd+E29RoH/wWbyprzmWVKYuoUC5zRdv0inRJBufclPxbNTYfapxquSJfOL1/gmBxEilO
4rpZjgyIPUd8pdmZUPmSmV438YJoSTeGmmnVFSRUpmRV0R0sK19UJV4KDWkmKgMynhza3JEtMeuU
oItXt2noxAtPrV/rJliq5XAn1a9Gy53YmdZS08m0db0MiOzkr+cQG7WCcCe5E9at5XfDqiwr1Y18
4tENu2iKQ6xp92muS1fDWC6sLvPJmotYt2Zxrhdk8RijtqJQrVw74Vxma+ltXNbLqunv+z65rUvp
ARGmdpZbYzyx4ZXLKimfSlXZBJX2dfDsYzmKg0MO1JRqioSXmdkcNyhu9ohM9nRMnWs9tcXeT4Or
0PefmdZLbh+3yUVFo5XDZgPmJ2NOS5zFQ6byLfbBdRjmEaAIeBtdfU+g1MiYTkuX3oRuApiIoS9k
73Ed4I0cDxNsqm0BnrXBtmVGjDyFgKbgVzlt6Eqv7zynbonbsdI1T7M9L5Nmrptdt+6Upl8x2cld
Lc3Fqs9kvMkJTAz8UgxVktBY98QUrjnLnsgNvKz1YGrurqJuOqBK3kuYo8EYTeWao/Z9pQxXvlGZ
G7Bq9zlmAlzBo3f4/bbL4eGDa+J906WDSVYL5glak1OR9nHTNZO2AFhXtqccuxE595F9bfKqjSle
5O9wPz+eIqZrUemZiqZA9bMQL01V14cNvq7hIhCa0p+w4nvxbSmWgfQ3xJ6/u8T09x8u0YPJTvo2
6U+EwrgCzXjQPerF1e8/s7+8iEOhaXFiU9Tp1PXxIjU0ziHK+v6kVUQP7AbpIHWb31/i56+Fj+rD
JaYO74f30TAB9RV96E+6fZWWyzFtFpxCMuspEn9zpUlt/+Op68crTa/kw5USYtJSs+HN0IuZKRlS
D3XbYpTtFl1KONf4rSfySx7+j63pb/cAZkRD1/DbQ+ueXs6HyzV+NIxVo/RUQPdKg6zTvPaDC5H+
W2v8B5fEB/rr1stD+/z0c51h8DN/1BkKdcE705K4winE9kOdoXzBu8Uua+GyxqpFCfKnOcTUmHNY
9BAme9dHExdTjWme4fBXkw7xn8GSKFt+uB1RIkJcwjAO8t7CaKYon278pKkasuwH+dhEjESdzFiZ
NBEuyPeeDoNKcTbopK8JDnEYWXv1Ms9DhdOpvp0WZ2If2Jxp/Bm7CjoN9PSYYWdvrrq+vUrsodhX
o8SkXobGYL9A/kM6kTJmJIRpPpr9xvHsZWihNijI3GtrOAfMODkL9PpNn1VrPQyy69LngOYXxYvJ
KSJvixumpoWrpwAgTb98SQQT7LxG4lf2/Zpx/IDeIg+yMw2QlRLp+knSzAsPMvmi6WEDpr3kzSUF
mmeSlCfhNU9W6794KaNtxhkyJ/Ci3IDoxvKQS5dNYicnp6kUJCOBM0u0avJIcJrzQlN34YhgMvAE
MBsaKpWjfa1DEw9nebAbTN54t+5DVbtucgf4ZaS+QgEdFt7o31Sk1IU0XFtQ45A/lTWpH19pgWez
CMdv7MDSl6N9baoPaeZfRKNzrUQM0Y0RqXSlyteFFaHb5kto0Ne4CV0jV22MJ9HW+HWs+p74cwJs
ilCZlViue10+Tb2VeYAJIHSm8XTa2/1WCFCjIiveZJzTspkdGGVcdMTeb7SovmxNjAWDwUR9rFLU
emYyi1CNMpfA4TcCIS0lqWWsC9OrQiSU1PHazquU+PbaPjpqIVZJZmPUNaONktE18Wu4omWHoGi0
/LPUxqjsQuPFAQh9KIX6luSGQAdj5vAQI9U5JEGFAzpjWOzFhj9vjDReZoTbbf04PwaYeAEN28de
yhGzYs6ik56/AdbRmE+TYVmpB2bmGcXASNpUqNPGanPIq4a0igYKlE5pH80iuI3juHUr+jWlGhAy
S0MHUDcfbgIZE8HCeGuFhIt5+XPqe8AWNX2rZ9JZsYs3PSACJhhWbUldkmH7c+Wm0jZmUm4KM90O
jbHQfQ2dRXzUtRawawJRXs6jO7n3boxUqte0mXIqK+umajCO1Iq68wqVcY/dtjMgM5xnZfkyFc1W
Zm5QxtFlyEEcge1DL1fPhsOpR4mJnBB1d7ArRA2VCbYll7O9YfPhGvgt4VfpK1PGSYHmIJ4TmbWT
S+UFvROy20bcFZpKhK9SQHdGu5s3jN7F0G1iJFDwseVDn/TPAZ81ZT0g28zED5Krxb2WFXuHIaRp
o/IPNMgwqvfSyP3SqqjlpaQvXfCkuRtH7cUg4hLgVhK7mTC+Nj3xYSWpGakd7UqPk25I39aNVfqQ
Qf1oR+UF88wbJR5vFak+8/qYm+lgD3pnXw1ZglaunftjRwWN8dkuByRSo3xZO9qjaJzi6OtB4oaQ
0reYM6VNnkIGy7pwh337Sm+l16CIL20zM+gWc6id6RpqQM/it4xVYKxTRMGVV0Kr1KQEJJV6jmRE
TLamA17HTUFytRUDXOAmFjYtV9VHDQqNn5eXJ3P8/PAJ/OEcqTKpdob8Qsc1ct+3l381/wq736/3
2U0m/kIiMP3M931WMb6YSAAcDI7vMTAcq7738xQbS7SMyZJkTOubj/r7PmvRz2MgYplswVjvJ17h
n4r/KV+YpAH6bzQD/+mE4/M+CycVmAuvgdxEDWzEp2OfFiSF4ndWc0hjM2AXxaM85Cldj7NQuxGR
VegE3mgu9KCTA8wjXdwvDKXB1pxDVc8I2hWhllyUdliKIyY+A2GS3fYGG5IymGVLIZgE2gq0NN6C
ma4nYY2S04s6dS55Tp49jpXZ6ierbZ0qm1ty0ekXACx6dgyFuIr6yRqbahwxCXlWjfhqqDpGrLAa
qlVUF84+KOWAPI2KFNKe7blkVhnbOHHKNo8N4CcRTbCy7y7CSR2NTD87WEncXipm3D/LmWEUeCUD
/7nTq2GZ1HK6C804p+mSe4dIIu4O31yAnJzYEoBpmjgrluptEAT2e5LZ+oOCTWheIUnPe8wGSM3U
6skOae4nDUo0N0DPuAmgF1yDL0G5FmQGT1/irLog6elVAebG4gS5Tdcu7VFOFsOk2U9ambwWW2Fu
YZC/hXFSJmEPS+kyBkUO9ktBQFXXeClpFGrPfE3NuiRyjfyJAhK34wTqozYSJhuMI6FdsdqqzzHd
jIsW7t5GMGS414xam1PSoCstKLFHO22PLWG4fKTZhowR5UqpQzlxIwjse+bDzsyAFnYQU0ivLwwQ
dFN4r+MkFTmTjn0YiWFZE3VD7SzSyg0Yl7wgWEt2eKvq25bAl2VNgBiu3VCFNqEkiOgD5vgCmBk3
SmmeaV0Rh1Ya9UkLtWKOhiy/QF/SXRA2tkXNOUJmluxlaYjhrWc5XdtF6m+HnFPezIgsaQ8AQ94S
2AJxPBdo2pumNXelsLNV4aNz1zGtcm6oqDVG1fG2SSWZtzTg7jDtqjtVsosjL99bSnGq7+tcRe5a
VfJRjAF0abuPNn6IgjHHCkpjqBCXwRS43dV9uRBhC4OiG71ljbPYn/+7sr5PS/TfVjBXefL0V26q
6ae+r62T/Mqhi2AisSKDz4FH9X1tJayWgYeNKMnUcD5Pf/V9bcXFzn9KE+L7uvvn2mp/kbGiMy+B
IzsRX/+RmwoF2M81jAVVFogWIGiVJsGPNa4OwrIigUMc7cavThYGissQ0el9nujqVvRx/CCUxlra
TSfveyJQZzzJ9JNxDtxaTo8XQM6TFeThEMtM7i0sqQGsEkJ4swl7TBIiZjtN8XYGZ66zhm1r1nU2
jpB2xKwq58WwBv65HdQR3nwTNGsFZMUL9sZsRdPCm8BMTDOLenhMg8Df5mWAf2NyOqt0zWY1Zlqi
uMSto5ZukGhPwkutbWsq9hL3TX+RwYlcgJsY3KFxPBc81jHW2hxlONhAx4SqRBeSigoTY/4uqZDf
5RU2QosCv4t+bhBflOPoE01UPASTLgPJqEuLdxvhkmc8gHZDxbiEb99ST77iE8guMLFoFQtgRvmH
9iOUG2nVTHqQcVKGBJNGJGE3YueoN2FD+qUcBPoqTjJ90U3qEpNZw4y0HxQnKSIvL+/OY8USWSSc
liCEcZQyjEUUY11XfecQaUSBdYJPR5qULWhrtHk6qV3qWiU9bVLAlEhhWjV6LCdtTJo0GUpnM1oo
Pi12vxwbfAd8YYSkVKjvY5nQBGUNcmQmJMqIwehWaUOnXoxt8dTlfrQfGv1Viik2SkCZbJ6yPe+h
I8aRf8XI8JxaYJTiYVipXXKrRn3j7HSMR1RfybErlVOu2reyX1tofMJNQfb7QAHGMIYRfsF1zAk3
mHS6v69r4qPYlHFiKa+GMa3PZn8FwpVEIEofN5aZfqepfCRmFQhDvuo0YxcNzr7o5VWgtOpiTHzF
NT2TYjVa4vA7piO8JqSyS0dP4VcaYm+IYl7E0g0cJALuB/3C9CAHjS1OEbXCPKNA7Q3sFw7lK6qs
GzJ52UI9RFj5ZG+G3SvSQxkbeU1SAEHOnEoqhPAofpfIxlAEZwVPRRrGO4Xw3pbUSEJ6CsfT5pZS
DTsfINy3Jtm/x1yFE+avj7kXYebXP/eTph/6vhYrzhdmzAbwH8XEvPUJCqSx3po0e0H3TV3S70ux
+QVP/7RCEp5ovoN/fjjmcs61oA0aJGfShPoHY2vrp5XYmXYBW3ZkGNz4bj+PlD2tQdVmgcwkPau6
wd+ZpCjJRUrzIZCQptroT8J9bcfafcFwGb0NGfYySVsO5rEU08uUcN+8p90L26zLTZpXIysATwW2
rxpEQF17215LcE4gKx7jc46DtcDJirX/ESYasj5NO8CwKud6hu0V3R0WxDJ4JmfNnKmTOZZxezAT
ssSKSnJsFlHSqXCmezy1geLdczLDZZuzjop58u6+jROejHSy5HZGhSFvHvBbTTdvRZPtdUmYawFA
ItRDD/JC0i/khnwXj9TCZzUaH3043m5jpp6rFNkSQmzv5mm0LiNpTSotVLQqe5Y1MokTUAlz7B43
oS+9qPsiE3ti0+aDZvHxJCMzqsS7Vkr7nBIO5YhuFY1npTFv+q6+M21/QYAZfZZ/T0XvpyLt96ei
p+y/ltVT9hLWL39ReE4//P2B5ASEQMMilPT9+ZlatX8cjrQvzCzQg/8Jyv/+RFpo06lVeVD++Knv
hSfULypFA+4mxyfmHf+M/vPT0cimImY5MKZfylHtx6ORkVBXRF41HsfmrrQ9uiXNPx0w8FtlW4b7
Rn4Ul2Ct+jhgGAsPVkuhsVcP0gwOspGQ+GZ8ZTr3YSX8K73KD++EQcan63waAkG6LcqKpJmjUXRI
1Xa99fX3F3gfI/0wmfl0hU8luq+UCM+AdZLFY806/cZy3nJJuI6EMadbaKrs1t1DgWg/PDW5N1PC
1yhY+v5JzTlkXfl9MWvg38PtsT0M5/q5ja565psD6vffv9Kpz/HjDOnTK2Wo8PEz10gsb/pq+iw0
+sm0qou7FghLrujHHm402GGkCm8WHt+S/4td61sX6pdDpXf46+ePSgFQBUJBxpKlTt2OD1MliI4K
h2lLHNHkMA9QEC/uYl3VGvCgeokyGnliu4kAzVREphhtf6kkWCZ7kuXcTpZGFy5lMFOLVu4mcPa2
d5q2WiXpvZpqWyghGIdUKVJuBi0lOSZ2Ihx3NgDHCAq+WW2KVszUrlwqjSDcR5Bie+zMcJH6nGhK
CbDNuKoG55SqJ2+Mll57P40W/Pq69u09WUwIILFjZbwADIgaQSIW3GiBSSw2rvOCzEwTRvpYYt7G
+dUq7c6S00VfrEV5X0cpR0qNJkh2QY7EOYr20ZCuOvhQN3RgZoU2auAerxsdkH5kzKIOHY4R+voc
AiXoTzvVF3mcPDQSsSUpvWnH8Oo5BJVv2OVffkM/hxiz7nx48PVPjwudBJSOQz0e5ZW29jbjrrnT
VvamOtLU2dHGcPHizR1XLDV3W21B7cyHB2kDinIlr0xCX6JvG8kvX9D08Hy+Yz4uE59OBjpCRyud
btk83uRMTbBV17NyWcp/sxxNt/7vrvNpwYMPQYZTwHVQNSXXw9fSd0NA6dhZvL95CCb14E+X+vgQ
UPt+fAjQsiSV5oTqMdDc6BQTOTa4MBD7egGR1j9iGPn9Yz+tpJ/fGhNEBrmTNNBwPn2lqZkOlpVo
6hERL67P5046/f4C0y/43QU+fXZYMK2s81X1WHfzloqsl9x6iP/mXfzdRT6tss5AroGwuYjTXYwl
dLZr1Xz8/fuYXufv3sen5VGwV1dVaqhHlWd7SPqZbF460cEJhm/v5X+6TNmHL1Ve52/N/55+80uO
xTH0g+b//vjH+tuf/dd8/tQ8/fAHLJhhI84tau/L1xqEyvcz+vRf/nf/8j808mtRvP6f//X0NQ0z
+AlNFb406l+UHHwtv65Tdnn9X/8v81+T1/qvf/T74WhCmDLGhgWuckrFo/fn4YiuvEOvHlseGlxO
ULyI74cj/QvyVwQyNod+W35H9Hw/HKnvdFPQPgbHJ/ry/+hw9OOtaEAtxd+ABFZj9o0YR/70QEW2
BfM3485o08VoWEDoVnp59+GDOX27636XNvntKoSUGdRmukoF/umGLz3Y6MZoRIcmj8JkntsyO4+D
rt/1NMLNI60msQTANHGXNgNLWHRuMnoXHYbCS7kIzkkIHM0Iwl0vywDMFcmAwEY8QaKEsiv7waZX
003bBfuww1zXKjt57M+kk+zLMb8YKu0ImHUrRzFasQ6ReySXztISCXrXFqNuqDpfiQLskRPSTIgI
ZAYu3L6FQFOh5NDHmJG0BinS4+cHC6qYAOVjbntpJN6gJ96okWocG45KR6EdcwzP5NC6larfeggf
VlZiaI8q086ZxLq2CuU4MBdBWxZEQgvseXmuoPZiXinWvgO5YqNo2JFnnWYfTFELeMPAN1D320Ew
a7RCs29HtTTR+arJqpJG01gp9MbGEouWRbyD2xppI7yZDPHyaJeqtOf3F/M6BDE2yQVzKVvZII/n
KBDYeydabWXZGPgSPd62tMftE9ertUdD+FZ9oYq8y+nDa5e5VRnDKWAMD85NOBdOZVpbJKX+g2wq
+l2Hhw7DvRiv9CZr9Y3NUIRwP9Xox7UddKDV5b52bshiB5EE+nUBuYek+GIIMPWB9EHkIDadanQH
p22tRcNnvgNEUT/VePMGgVVZDAzTnZKwdrSdC8ZcVLXAHi/RB28jmYRtJ1ecS0YGmCcjeDi2IDo5
L1JGObE+73IFLG94Z6fkkfDVdaRSheOiovUzr1UUl0MyhFsTBuTCgtu9appEcTPH0w910GHtF2W9
MrVu3esZStZBrc8+pO2FLaX7MEv2kDGyZVqFZz03NnbQRnPPTNZ5CDzR1+RT7fRXjWJ1N+gb7TdE
1QD647nZD+ZbHrZzI+UE5JXKtSy1S99soC/m8cKR0mVs17NoAB9em8XXum5es7B6FZG4pXgmR7Pb
OkO6ZAFBPD2u9EHeC7ubaw4tWEPdMdLFp9M9y0YLR19aJr2y0CoQMq14wfMx8/MXT26VeW8m2mqw
YMTFRvdgmOFzMpr6wqzjett0vY//ctypKemVvro3i3aOuOKh4OurGw2wtm0tvM5cwv5bt/L4MHj1
wk+Bc5ZyOdOA8oDhy+QNlqZormD2Q49z4j1eGhD0yB4ffYD5HnCNTg73gW6CE/DUc5NkNXPy5oLo
Jm5mSDlJOcjkdVncZam4cHiI5NyCwVTNB3A+dqHt9CG/k+iDxrAtWtU/Z2WxY6ZHVouzS9vuHDjg
+tVioXrwrHwfg6GIFfQm+BjbimG9X8mHWIof81h5xFm5Dev4Ik/sbdQq57FX5gkkEjJD9oYeuWVS
iovRstaFhM7FhqtTxta6dYy5U4GGDxio0/Te2vkoNuWYZVvIUF9T4VkkwzDEFz6wRGPQ4lXpFCuv
RqY7Cqlc/n7lpSH5wzngfeWF1vbu16CY5t/8/YcqJRAKyE8zATNQxuqiSxyBgBYdBMmzCTlQWj+3
OjA5eZBu0mJ8pcCsz2UZy9f2aJP2NgyXbRXt5MGbx451Jw/NqgzMNyJnfCyaqMXhkoKRFfIyH7mn
E48KzCPwrI9sOvwlk1fLbtawLJ7he7VuGNW3qhWUC1SrYCSJd0Fl4qKVqIeNUsTYtr0MxVJF4E5H
IGm+qlPrq0jSK8wL2xbOy1gn27LFNFTkO7tWnVXTC9AFIlyrQ2BQnBIg58FACPRo5fPpzGu5vtRF
q7hFYG7lwOG5BmONkQFncVQNN1HY6cRMoeJRhXrUiZZ3S9MU7hDG+64YD0EdbeLeWBmorOchwhbv
3Upsw9NJbbLEwa8ZfrFLfJA6Vob5O+kvkjZds6/hZyhAVOUCxVhUHeMouUSiSg4AxtS5mUmhqxWI
JKrqFGr/n73zaG7cWrfof7lzuHCQMXgTglEkReU0QSk1cs749W+dtjvJ7Xb51hu8gSe3fN1WUxIP
cb6w99pUm9ks47fq+NaYjEryEp/BLe8jHOjkHJSeQwpFklQSKbQRJXE3hniMs2mZ6VA4XWM78BzS
m+KtcKXABclS4CpvvrDmRalVMOlY8CZpJnZKKZ9l7SGyrQdNTXEdT1CnyC+YMk14MY5c9u/BSZ9N
QbwQLnDc6c4WKlF3V+j6sGdeVx/TYsh+H3f/ZXP0Y2X/+aAiXmBAqwGpcgzpOPr+oMaYANm3Z9B9
umipx2c1spxffxh+HMzyV+LBFsgM0fjJUbBE03//Cro15wR2BcF5asVEFp+iLtpG5VU9xJwEJDNW
tXbj1a9f8/cxwHeF+J9e9cNsqCuTtjR0RTmqU35tahqJMfwDt+JDYFB7kDcYe61j3lu+vus7SIb9
iL8vzQeJRooKL6/nh0KxD6yYGL5k4Tp1B/HihIa9zNT41iIeaRkk095OjUfLT8YzkbK/4DTlxaqb
7XzllEq1FCVqdjufpl032vpLkROpS5KMvoqi6JV+ilRkFZAnT+Bp2ToW0qfOve6MdCZtI7ntgp54
ugBL1NS+xba75VK6aep6bTVDs9DMeKurobKK2YAt0iHPN+yYVK8CMbWsBzLD7Gi8ktqyHLySV+mB
tQB4sufQf6qaQZMqvV1tEBo8GDfjjLVCTc7MFtJJLR2Jka+jDWhJnrI63OtzvEffsMwnX1vqjPa4
YBKesup9T/4W9tPs6KBIy+th1fszJ1hdJW2QoRIol0WM3qmcY2dZp/6xhPyGvxHTvDV7TjBeh+SM
LfC83nQtmytdb1VvttuNUkaZVM49I7WELZFdkkcJdnFsF404603gML2pb23mQctSiNt8CrejD5us
r7vz0uKOhKa4q2vjnU1q5/mArSvT2ASlcbCHPxJb//JD9NkU96vTRkfx/Rkf8PL1GubYY3zIL4Jz
ZV3tq7thM+9IKz84XD3eqzYsSAo55k/D/tdnXep4v+85/zjq7BZYy2gIduUH8Lu7BlC/kyeYRY/l
0lzkB80r12A9xF65t9fE2N6eFO9w36/o3Ptn/ic9nw7q4ixa++dETGZ/8938ePH9/mnXVcpLR7do
o8wP47lJHQiaEXF4HqoXGKCBEN7X/3Ae+/kH/v41Pkw/EIWyqg3TkMv1PahJPr/89W/0pz+Drbos
rQxdKqd//IVmozWThFNxeSsXFVLU2qTm/P0J9X/dv2/ei/Pn7L35sV//f92+czz/un0/Pr+9188/
6dz5qq+dO/kEPJCJlddMUralpP3rWkP9zTRMenc6NpRLFn/0pXO3f7PppfHwc9X8IQf50rlbv5HV
TSYJX6AjYP9n8WSGJY/Xtw87unUHnR/GVSQf2EKI+f3xeEDPmRqtFcHJdzPaWTBzbYMgPYU8x4T3
nm34okQxsZxh09kSUpdnAVd3t1Wh1xkSYze4Jk/GofEKO92PBey+2Y2xZ/bqUkDBk89rODRYohwI
eUD5ESJHrrsyovJVdCUWfac7bzvm2aJ/tODsCXh7pgTvMft5stx0qdA83HGVq9uc6i3IBt+zfbNf
8m0X6w6WXxEpxGcK7REyar6sJPAP8BiIF8Uy1uhMPpEY/07KCagtFForh4RTjy7rukjCS0CKzzNM
QUXyDlyJGSxMOroEGokpEYQdqC98fiQoNHbx4sApDOEVonNAYz3wI3YSZtiU4kKBbhinwbGAdhhL
7GFcm0ADIu0C+M2FmuvjglzX1hskLjGluthYRtljwh9e4fYhwBNdtEhCJ13PocnGVI1vehiMbEvB
5qktmhg9tQ+YS68biI1ZJi6bfKjXcQoFVYHqGEJ3DNtxXxYAUO0hxIcMATIQZUyHZpcLNpvFouhM
OG5Rw8gasvwtyOB8Cx+ow5dox7gDgEwSUxOvwYe/Eew8nQV9SEZsrhJYJfGU+uAoKxJCD1YFn8Ug
+3PqfP9ykljLENvpegq4Td00wzom8Ze5BGEWlrIppC0xsiliq6eJtJZNE+ikJpQhzWlgA2aDrImT
nwgbuJfANn3WGdW8siWIk7r4tXVDyJ8S0on2MFulEtw5QvBMIXlaQV0eEeLAeQvwvCGaXMcS/KlC
AI180a56CQXVtOqKxi9c2lo/LmOJDnU6NuyqxInWKDe8oJtfu1rVF2XTQfqR+NFYgkhh/tjbKAZO
ysD1SAIaoODResfGiIfRFef50OYeNKIY13U8LoM+ApYZMJcSinVNuuZTL6GoET0UKiU73bbNiOMz
GK4VCVH16fpsiVUdMt+SIX5sNyR0tYK+ivYJf4CRGltwEI9urL3Q7WxsBWSrNjZHJWP7ESgOlk64
rnNYvZDCMPHm2xVJC41rXaKZao0zMTNTo0A36VjHesoW+gDdNrwfAz7zGuIhhicdWmzQOpPe6hf2
kD2iVWngCmJ98BtA/cgY70b6bToj0rLGSEFdKg0jRTuB6ytgL3TDZkiRFUTYA/warBEZr9Ye93u1
qBwSAEDh3cyFf4KQfOhGt1niI/gUtdW1poe7XHP2aMEu5zbezySAajTOoRIe1ZiAvWKKg4WRMg7K
auNKLax+Kfh719Uo9o7O1IdmcIf/WFsxe3vE7L1tBmOvKuonC7Vak+AeL1CkFyTMnrGIfNZkkVcJ
dEbV2A4sp3rrLJrbtYPoHFx3bLftfR5UfbEew5KIc5CnxbU+dM0drezAZEIDzmepTV9v9cgxnzBS
mGdtU6bBBVESgbNrK8V48pHz+MfYJOMxc5N22bn+vWAysTJHjaPhB+nK57xsjQJ04BCTYDZw7lYm
zpsFp/CxM7rtnGQarglrG4KNWtgyKGSIAgi8hX/pzPNpzLvWw+s2E5mcXaRWQJkteMJlZcTjKUk1
QtviT0FtX9YWCY7KQJYGEVFbiACpZ5f2FTMe5gn9XWXCMuRTvHF8YpfcLmTsMl+4RrTvkgmVf6k+
i5HneJEPiKazKzGI1GtJXt9WqRJx1vzTlKiaN7WQDxS8cos8GESyyyXPstHzZ7voQ1a/sC5toJdR
Er9oOIWKeHwZgWLm1VQuZjCZAKj4HEpypg1CUx0POXPDDEcMeqx83tBtbZTeOQWSvtmD4bTAceIx
pKGGz2kD6hQUbPjqUb6mkuJpZwMJI3A9Q0n4rCXrM5fUT6jJ2SImSriVRNAJNKjeqwJTUzEsNKu6
imITylpt4ySpLgpJFkWtzbQZX20VaudGCH3UDGDu1jVufcCkhLNfFFl1roCI9ArVuo+d/jUeYJkO
Y7ofJN2UnmzvQw0wK2cBQvE0SQ6qBhC1lGTULi7XkauCZnXgPwP+ArAakGRbiEUHGixHZOwRjkJC
Qori0r623UQnSM94t3pYUoNks+pOu48lrZU8S4v/cFyz4z0zJNG1izDkREBegVjwfNYFOWMwsZXo
GoDPc9XZO63i34GH6aHFJjpvtQr3ppYgWRuibCaC99h1tyaL3kLhT33Ys20PhRIWbaaFm89l1L/1
pNRK/KKeLPL2ncHrnytK+XVfKkpN/Y3IWMyOroshVYp+v1WU4je2OTrKXcvCg/69itjC7sibK1XC
jDC+SYhNsuwcTJAuqlSqU17oy07sj6UM67S/bB0Jz/1YTnJ2dAIeHF0HlIKC7sdyMitxIkywV88z
fe7X5MkZy0K1H21kVYXd3XPcb2FOE4+04cCtNERYXRvc+lKVNUl9VolQq0KwZR3IyXnVh+Q2k2ou
IXVdEwIvqyXLaIJmSpAN0ez4OUo4ziYcei+U+jBNFU+KVIwJqR2DJzisYqknmxGWDRG0KT+oz3KJ
HI0lexQGKey5x1lpqUWAkw5R9TxBKyVP4bmGXjpKjKnVjkfOOmBTiTgtYZ12HTcIpNf+flKdJ7Ls
o31O8OtKDNgEVWip2PqfVIlPRVm68yVQ1XKI4IGw2kNadQGTTJBX3XoDqW9VSSArwL1b4hYenUjZ
DhBbG4lutbVy6TZQn8G6CpKvKOzPR3CvRjd7leS/+lH4VgCEDVrIsJU1nLsRqPQi0nYGljJEcQSI
sz65llMHe122ySP+vGrBt7hpJHq2hUGbShht+xlLKwG1vgGrWiJre8vNPR+KbewrB0tibQsJuPWj
bjUU8VUJMpFLZV4bEoYLGwpSZfpWS0xuqzXlIqzVTS0RuiYs3clxYXxRM6sSsxvm+nsrwbs4G3nv
KYbMgNBdu35RJaS3Ua1DCMakgN47Wr4r67QDo9MTRILzrDSWVmwiUIGUMQRSA04ejYl4p5Vw4FRi
gnMJDMa9CqlxwKWZJsxCUwkWJqA1I9wTkM0kscNtxh3X2s9mqewoV9t112ieryqIYrTpcrAt7JqC
YXClE1wbVx5BR1e5yOJlyDtH8tUtnt5FBa9khazLOVSK2KVOcSxj4CTZeBc2zQsDomEphkn6dEE3
F3EXo1Ln9kjidtdPLVAPtnddVMv7j7jSKMwufSpSgCnjNhNtsa4DasN5sgZAFTtdi6AY2c4n3o99
UZYnA21xYqkbU6TEHoSETfXst6ZUv47n/InV5h7P+rGYuYbnNj+jljuoUGu0jMVNqpY7p3deYkw2
bhjQj+AStJjKDU10XXbKbVRYOzWXLlDjvbCsXUKcraLmT3mT3loJSNR0Hg6GXu8R0h+7PiHlJxkv
06zfjD5k687izh628IZ3ojbW0Lu2VRCeBYZKTNyk70vG3EOjXqihAd1trpd+0D4MNqCYxpjXUd2e
CIpDJjTbZ7WrXZlRuU+ifmskBEwxz0cX1TNtJ+skIE0iL/vXJiIg2Am066Zo7gla2PtjfOxCYxkG
01Wupmx++NAnabi2hug+SOwNwRrbzIqcHdXpxuoHGf3aHvXcjTzccZdGHOwMS7vMlN4nwgVjQVfv
yCx+UEfGbo6apktX667A0x26muUiqxwyjObsoWuZ5nVEmQGtJRqTzA4nP+qp9TQ77mZQCJpywatH
/WNed9vGVD/NDZDtKEKl3vgPEaRAyplZybMrAEiTh58n1dZOQVzINOr6GS0QS0cr3btBh54+2aHA
JeJNuHvoUiejT/d+MA2LuAiOg0+7FLn5Sw9CfKHU6Tkwn01VuOc1CxgPdM46q1SxQhF4FyHRGtnC
6olyLvz4epZvoe6YLyVhxEUTUMANexEo96Pan/C5nKuIdUJLolym4VlTmIFGZQC/uiqXVct7UQsy
EboA160DhFPXj5ObEW8S1dukiDcJaXvLxhJ32GXOqqZfhCEtVKNc9pFFRItxA1KI2fL8Eqf29Wy2
wSE3q3KnBv5VmeVHJVf9hU/OizGbT6K0NjjdcKIO5jZu2TsO9ahtE1BUmha8JxPzBDsv1P1kTweB
fHstRGmu1QhId0XoIIei9DQgpZjh1W2TIXUbousqnw9TF9z4dbPNlZmECAnuxUXMzwyXPb1vq7Df
jcYF9udlrOJkjS3ywbJxYxrFaWiDm0idm6Vj9VuFMXg7IxxrrMs5Fds6cPnVIK+q6hzYx3TZd9o1
AmmcMNi8lw5sPRzFhHfp1rFJue9XaUPg3qobqujOzKKWh79l77UcnWKGiXYdVnBXq9leRE7Pp3M+
VJFN7GPNjzRN5ZagkY0d5O4Fq2tnkbU452cFHzLyPzbgfT8uenhwJDuuDCuP19wwYNnhJyxLLfVG
QrRJEdwSuojdMiUYpujd/iwGCYl9ffqU183O5FO8SMj583SSGEi7GZ2Vmab3uEQ0vDtWvbQZ7a5F
2NjKIost5t9ZcBhEW55ymrGHWNik5Zhzraw7ZzAvm4F08tSZS6I/UoPxUU9pD0xkxpkhlMOg12es
tS5I8lkbY7wiF+wuq/yroAKLVWnBwiYBUEtJhya98IG0kNizg2FVC8g5fYLd3PAJoWjblz7u8H87
j4avH/th4pKJlux5161vLtip3ZQst5aOHT7zZL1DX771h/CkmuO7H+t7Wi9M1WG04iBBZFJQ48/m
3o6yI2oV3bPsjJlQQkx2dsZehp35BHbHqv1TrJJukRRXcIMjupR5B6/pYI7RVtRs1JNyl7mM2As1
ISyXdEtgPpfukF23wJ/6YmJjl+c3OWsSL1OSPRDdnaoqR8wOHqXQRhurXeu7GyXBampXe+Y692C3
92kOSEznptUdJAHlqww4iZPgcvSpFCazxNEUrkjc8cyqfc9C96DkOCA5dCOSj85NXxlMoiHAcVmo
0VUtcxS0yHONeFroGU3qqF43iULoaU5KEfoWJgrBip3c2ifUxPWBb3ZuQ0i32Gad9tA7BgQmMa5J
rfF0G4Wwz3lEBlHxdE8eAGp79HnoAGtt5SYsAbogZfMY37muv9Gd+ULtEcskrbiZBrHW4/K+QAa+
1DP2jUofvfl10WPLGrpVG+rng6me+4FOqn1rraK4XBm+DbA72rmR6qI+RiiUzFi9zPO2FPzEQ9oe
LI3DEhSDydDOJhdwKsXKnyznVIBGyA2Iy6ljLcNWvUwNQlMJAqUP19dNQ9qTT0LFosaguw0n69Ec
4una5UkDg3Q8jKPTLRXA2iPBy6ViPWoaRs4yqh5UdkGo7Lp10vSplzf81I4Pkl8+eir0Gz0BZtug
Bp1tlsmxBEhA/sl8UrR6jy26WmpWAxO7zj71YmwoEat8afD/JmwZoq+ug2gsN+mc7QZbYyLTdog7
5K1tGg+j4IMWqyygUPxiR56Mc5FE58mQeEZshDAC5+ZQ+jXwtlG/15hznA0kQrpN+gix09jKjzvK
FnrknNs8qXv90QnJFCyNSzGM0cHVyRES5S4o1RtCkBZzYZJtNHSbQC2WapYcqkAlbQnARGBmnzqn
SHmWa6tAd26StjiLGAwlvUWdSX46A+uHSVRX7lgRClba57EIzjM7JrDEmPb5GN9VqftojHiUeQ7v
TT3OGYRYxVprjUdAXDsXqQRW4Sjf5D1/sVKJdSGidlkSjruN05R1Yl5yOwZGpurXo4g12gjCFCA9
p5OhxV6iW8pKExGy6L9Rw9KKfTePZ+XkuhacYIRHJNphlP7QQGmRqmLKzqMTQUmLPD82ROq4xvV3
beUffdv3Yjo51P829P/yIgiq2AdJBM6HLXbiI2cDIRad1Gmn5EcVeopi3LTDza9f5sd1/B8vYyNc
xNNhyOXCj82gD9CHLkClcNc+DcWtop/947+f/EGhagY6fhxbH35XDcHgRWFl6SkfOGhbx2dX87X7
/smv6SffP0szjd8Qvyh2gB/Wf4GNdEw3q+xEYmxmXpju34jL/7TrlO/1d7+fD98/KiURKjxKT8yf
FLJPxLq20bcvxvc0Xv76R/nJS6HSZFPsGIQlEpn441uROgFqxrlITmq8ZQjXkh7LysTwuIaZIf/6
teS3/eF0/fC2yCP+3QpXFVHWg7lJTyV+q4aKzuOjxTN16te/fqGf/VDfv/8ffqjcjt2ic35/IZ0p
JJv3cM09Iq/i8m/O2k8+l6DfBKM3bkfWdR/20rqJM4GLNz81ZDGmz/24Mv3XX/84Pztu373Ex+M2
Nya1kqnmp9x5jv1HQ/kvjrMrDGyPrpA2xQ+feiIRzdaA03wighqdCzu+/+LhhQBZxcKOIR2v9Idd
c67Ae2otUZxm+3mwzzuG92r7N8+un73pHGLbNA25VZUzru9PF3sgDH0kr51qCr/JY/khzEuo4EW5
nPW/Ock/eS1o6uxmBS4Qwfzpx9cCQ82QjSCuUyh76hVKGmBFdrUoqLGuPr/5/448pbzk60NX6uz/
0M9LJcD//Of4DJT3z/NO+UVf553ab8wReccRYBBMI//o6wZdZ7kOCsYyQQ5KF++3DTrBtZoqrXqY
aKU0nWPyZYNu/+YIA+a+qiPiIgRH/JORJ6PXHx53kvxGlJTLcAQ3sfx4fXjcOcjrCatT55OehXeV
zoo35TlBXYIBSszZ2qmsjWBubk6MyUb3DsJmsFA7KvnMtW5ixzjqRbvLsGRBC8XEZNsEj64iBKW3
aeHCrdHUy0DJ613L7oekxDRWXrS0YDOUCwquve0zbALPSzdspXa8bVrWfFkXd5dqjv+/6KzrIZHy
JLI/XROozZjryzIEuVaNxc00KXcQ6G51tsALVWMNpdasVJWJ+HLnTIBXJkzyteajZSb5sAjIni9j
7YJNyJ3WNznVL8sEv5VCxxo+tJ9/mmrALqEm1r5hB0utRiBmauMJ+NtzlbIfNXu9W4Juf6uGbF62
Kqpdl+IxUFuGuUUo1gmYISgrijHthrFQvHAI9qKzTzqNUCfC/dzJJJPQJnEuRBas9fu6L+9D1X1U
DBvaWKpfJlC1IJ3dJREQlTqeb1u6kL4TJXONgfVY8YlBMeqq6MrtSpbwJN2XQbYT2XSXNN1eKfpP
as0Wnlmg7Wm63sFY6/uFolAt62myrRoFPnFoeQSUaUtfQ5Rlolw6aVM5eTOCfK9vBxi4BTgIGUNQ
UGwuMnVSVk6SzF4+Ei5O7fcaTkSP6GLatLI7It3Xyx2NJY2+7br65KcEvejI6aAG1RXloGV12abF
GZoszDTb6W3tNY15bMeEnW6haV6Y92tD9V8ScKx0GiTIduy68/GZ6pd8E27+InXRH8NLHsLeAlKu
PKs1ZPS6p6kXCXraxn2fksQ58qDvV45KjixmTuuQDjoI5Ly+DhvU7FrL/FGQI0Sf7cbLmSlW2NP+
NFZqsHmzlw4ChQ3y1Hadcv7PO7wXtmLs4Fzc4UnZqp12N/St8IKwUZdtownkW1p8KHPYxwE4n1Vo
gvD0e0JwqecNDzq4v5m4n8/LUdcuIXazkk/6jWtgJxyCsyxpfFok7RklF01WPkUnm2mV54JEmhy4
bW3DHHaKUs8c8pepoRfoo4ciIGzChVEchLyfcTqlJ7yAdDjZ5ruH2k8qyQ/Vw2fTLQZIym1WMOAe
P1QqpT6SLaG44pRmt4nxZprLv9W+/uQlXIpJ1i48I0HSf7h7pzIYmxia4ilpXrrkYipv8j/q1X/v
KOm7/fUdVRYN1db7Z//Y7u1//vM71FR+3ZdrCqCErtqarTtIkA0wZd9dU+pvIGMZlMrri+r72y2F
fV1FQfgVj8a5+HZLSTypiqGKFR+7uX/k0NI/WJ0/67y48iCmGQBR5Qn5sZSJayXRbLiMp0ydDZ/M
MYI9RqGGDvGCeR5cwMgxz+ausp6s0BjQISo5TBziRYfHerabOzc0imvXjcyZ+NduICEwt9v7Ru8E
kgl0VysrhPRoRMrdqPHwGYOZ6Y6mJQxVrQsHqFUXiFPXWzdBOj0Pwfyshb7BJ+3KapyMfFd1o6VZ
xAPU5pGeWKuxJ7BAqc8Q1DKTbRhA4kFpvECdnpOqRgE81AMJTIHMUYT8Qh5TCsbHkQmIo0zBdXBL
uzsjqOtFP0Bvz6wrozevMkbLy0THEOCP57NDTBccz+cqr65hJD6FTsxo0+euyPO4I0d3Jj0+cjMP
+xJ7IMO8ii370DsN/uqEvUueHuCy77swQSHjg9gxGhtoXB3Ui2woHa+ck6u+Kol5m8ujXvfFYs7R
J9SOjNgi1YBQ4x6mUcrIrdXxMI15kB7yAhedDR3SIhK6EWq57NT6fW7qaQXRNCVsqtumTbxR8cML
hCWlzeRjUlzPMGCFoRtcs7UPvJA1Ed+UIESqd8xtlPNPRj92kEaLuzxM3lAQXDoG2QFl+iqS8MYq
mL+2bWwcCEDfRaVyGZUyA8i0Q8/PMOoH8MkCuaSFB3UVWtYNoyXEZab9ZhX5fsbdVU4OOxaV3O48
J8kGgVRMIvm4zyXrVh36hVHkmzRSMM3IFSbbx0VX5Xex1WBmYCezRmSyskrGRqY1eMpAFRCqztqo
7P68k/o1e2qwr9fGrk2s7I5R9risk+5y7rnLTD08z0HQM5EmnTueutt6il/8noWAFULbYUqxJqno
3tKcB9sPPI2CJM0C2m35baj9lTKBa/PnU5oQVB9pa9e/4LAW50bfHVI3uWAJ9xRZSKZy2O7remRa
ye6l3anltG8tjp0w40OhFVx+rPNCxblXbMSDhGdEnohH31Nqyf5Pzs0yO5EnvydS5KJv6GDavsZr
YRtrRa+eiOEhz127zdo0WFiFfVb21mmSe93cojRxcdr0FcWj39w4sf1CgPcRJOG75mc3TWvvhM3u
vE/ETiWk2mtTt2F0z/vgx9lbKgY+YnPAlmxMO8Zd1okfnjXwED5UZL4thJqdNF9coC5fQzd6URTf
cwqosHYIqz/TswtJ+EaNQtmZtfl9KOG2XJvagr1gulegshM1yPbVR6Lg2Vn2PABRWLVTeilYbKXk
k3s6TgEsC8bWdeZDmrfHTiQI0IzHwcqeqSYJCOZFB6ChTOJTn6hYFtxNqm4M3djqJeN0AlKOHbU9
ibxsFKaEIacm4YmCibMZnrls3/aRqPNLXNc+yW8MQ3lA5ORVa/oMbrDC2BY7912WQzMoMoHaCVPR
ukrVdoNKj91xXrDoHw3tYpwMQtoicR7ywfJ4z01g5lQmZo9DHXnZeD9XxEISspTuY0AFm5ZfwWpI
lXQrGGkvSvyUOsgEP1BB+LbhtlV0hbQ/7FuLqVTFWokhS/zbSqo0a5+ZKH99TV9H7/XP1NhSIPPl
kkY7oyJLEUirpZNYDg++9pIAxk2H+/uzv5jB3Ldb2kWNbdHH0S/KG1Syor7c0lz6dJ44jkzKyc/N
6Qe5zK/kM5r81r4bnXFLc9PLVpdrGtU47euPt/Ssh1moFZF6ws8NfySbZVT1UxG8qS6AMlZ9tZUf
WPCxKx5c7TCU/Ptas0+WyE9dVaIyCa7Qcj4h7vDoNsZNk4QPeW1uKin2y51jyeFHyfwIyRywGjrS
2U7I+LLZczB+AiLX3ZZjfgN2pGJZA1CzYje3ZML/iN1xCRNrb07xKhPV84z0QsTzg2YolZeN7Vlo
5it3jG0vIcmz6SAYx/n8QGDqdghJkTCS9mK0Q/xm+e3sFAc3rh7YrWeLxNQ+KUN+DxHtLhG0tUZH
RoirrGd7viADxOaOKDely55uoHdxopbUUZ8IHtsfdu1nR/Lk8JE12OQq67qBmDdlzl01gEcu2ULv
uBME2eJkeaqwNuNB2XLVkL6DYXTbKdOmMMadxh0wlNbVUHZXaAPr29ScntMSpYhVOWeEOd6rmbl3
VCR7pToe2dCZiyGwlZUZ59sW6Ko3dt3eMJod6MOCe9c8m8Rbk+dPgd/dTg4BJ5MBLW52hqdEbUCg
V/qRdcW7boPhcU1x+zkYdFCN3lMM1M8NrqVp6PGnjtMWR93GIeeiBMGMRoXJbZAay2EKYovVdcz1
cY6XSIQrn4Q9GkRc5/u2gLg9G6Xa7goH+VVrE4Qt0NXHENnV2ia4Dq31qmn01n1GLDns4hbZ/dJK
VLa6oz5M6I60ol5OKUVCEFZ4ww33mHVVhWdWf81DPMDEneKgMtgfaBqNsD6oy2FuXsHmGYSSVJ/k
aGQBb2855Tw0bYGAkTTSK3vmyoSnf66EaGFbVE60NRZJIuFDOhqPuTMOjEp6RChk87iYp5ZGZb7F
ZfNJm8Z3ALvTorfTu8CiWWMWSZTqSKZfo+1rWk6i91p9ZZj9BZVosNTdZGuE9aOTmO1aR9TN4NZ5
nFoZPWVg4rPs4a1xMDSxTuWayPA6EJ3qeGrsYnQIlPPgMe1BftOoj/GbQXKsmXFecjbiyby3MKrF
RXnZ63G4CpPxtsTXwK0dbNIQxa7B9RigBvXLLCWz3l84YrgP5uqSK8wjcK85DM0jVF+iVyelINzH
nqVxEcCGaidLRXoPLIDxihJiEKhH6pSBdzwOq6tO8uWTkGkIwPkZ8PwIgB4PZ+2lBqFH62pK6td/
75XP94ocDv71vXIV9e8svd/e/9z/yS/8crUI0u54bGsMHA0uC5q8LzeLhHfYVJWGpGfrrmSHffH5
GL+p5OLRMgreGnm1fLtZyNXDdwYDkNUTKs9/lk/xmWnzbSfDagy2uiYtbK5lMa+yPk6ytZzNcqdr
x7qouAsOSqpMMp7LUJtMXbLCT4BzaXqCnMcX8nbp5rWYJmGzJabmcVI1PXWSCTVko7IzzVw/dokC
7E9r8n2Gd+h60tGGd6NRHgigK17boB3OtGxIrg0xUOoSTpx77Wi/+zx3toVBvDUebenrJHnzKYSP
5bK1x1JQD0RAu+km0cSwnNPcfKG4F58UPZqvtMYCQuSSnom8mVw61eFaLC2Su7RYW5hqjLovtJOL
LOv8Gy12w6uuVNLwWo3NJGg2qS2qeTeXIRHMNVEi6MLhfAcaL0j93xGyIAwB7WAanGJ6ZqrcX9a1
cAaVgb9mLMGK9+q5ZZVcgGZUxbdKPJsIYPrEtr0R2XiNVkHHXmH2U/WUdJ2+M3oCcGYWDEQ90LeU
05nTloyFczNcqn3tmvu+1Otn7lZLW2QIDBaQ7hpQCVWPf3yKcl1n6oV9fEJm5S6L2biaRdPbW63H
Wl3Y8Wsbp+FZifF3PpoIPncOZPP+Cn+qWE9kdpMeGHIwh2PmplOu/D7W+ncgpP3yiXB8z9+K1+hn
uGf5hV+eCBANHdYFWPUYGuJI54++PBI0Pvjw8AUXOwMgEDxfHwmf8y81lVUCg8rfP/dfi034+3IL
/Udi5j8oNE3rw2aLgaSpU2lS1LI7YbH54Xlgp23gZFqgnISSel1Lf64a8zvSpoB6LLUWnQ6BUMTr
egq4uaj/6iu3zpRLze4VoG52kdtXAfYhZ+GKiWjaRtT3uIXs6dVU6NCt0M8oCchr5UwWEHqdeRM0
A//EYmZDhDGRKPXgbKCUjqu+VNx1LbQHNBfqa1ClGSkiY7kuQjsFEoLguw9kk1rw3+o2uYldotVP
JeAU6tXUwfjUm2dDbp/FcY1YTK93xBwj4eiUTad1L8Rr0ntVNbZylxDAVI61lek4BYWLU8Jc0YoS
/JGr8yKr42DlElq6qacpXBDpQkbl/7J3JtttG23XvSJkoW+mBFtRlKje0gRLtmX0fQEo4Oq/XcpK
Ijt+nT//OJNMFBkiCaKe5px9ckzahFqtLAJyNohLl5UZdUiloF6YQvbnrK/ozGdRPDNmme8M4ym1
e9CNWn5FsHiyZnd0A0qaAHXTOBEZz4KCJnzC/dinEwU7yyBbFGLlj8608XyJTNCb0ovK0xxGGqk8
4F/SN73TWgohxNDLl3rNe4bMl49Fuyaqcl45cQBzqLZCIlouWtD5+DtqebMwINhVvZ3fyFG/rhtC
cYKcUVpES0vBtCzplmFDFaG/qgjdyDIiijryN/BJeiqPUNr+GssacibydJAWQnSN7hwuuxvfw3q5
satD1Y1Qofs6vYhczT+lNlkIKxjbJ+CAPbJXox2iG2NInouEwMKkcl9joGLg3bAnsad7zg0RbyJB
fE5QlqHQ4ssiQsjsZ2jxsLuxci2/JYuzxvMvrueSnS/5Il5odz7g7irnYTm6h25svQvTYa0yorRK
MjLBzLLc2Qn/CTr8VtIZyCmZJzNYpUMz8QcIc1AN1TiZ9mlEAn6BASE0aquwzhRk+Jg6fGJ6D4Pf
Cs2eHIEmQxMGGhbTJzfa9ViTL9m1DqxKm3GBVgOF7iARQC0ZduRUvKg9iNDZ6dCI9ReTLC1Q1rGx
dezIv8rRbmll8NWkBnSz8qYehodIs0594wGtMLXmatbS+WC6nfJvLnvNYZ9Usvu517Mo2vj+m9Dk
MS2ge9je5ZxAN/eyZNfKeeMiyuc1X/tzdemU5csyakfHSC/LBCdQOjjRqfIx95VuY22HJL5LZhnD
BS8OXTbu85YPyU+YOk1kdGuZF61wCL7GFJ4r4abXcqwJ8qyoazUxlqEftKHhFoeAmB6f9rzs/NUE
+ias0ah7KY+Wcsv8eEtYYaiPrF1ikwUiu5ikyQ4e2RkBRHZEoEAsBMXAJIsHao1rxoMPHLY+N2lQ
u3iTA/ci8pdvTWvcOstw8JBRWmW5wZphkVIhj46Wh9k4viautXM72po4Jk3S8c99Xt36tfk1yPkO
lwXGg2C+tTWsAmXbnOZ2IUDBDhs+Y+gkdKkgXcCwhOOCSB1v1Jdlnu8ndT8aeXbohuSMreC6VN0n
2vBI1nuvxGERc/nC0W/KSl7N7RyaAHuqCJEf6lsQzjta0D0q57BsiJTt5VZzFOjGTL+4PgFaWrPX
iE7KE28zNzVSdt3fVHq9MwQqvWyAjCqKdTrGewldvay1S4zB27lIX1tqljmXCP3Kb0wnwqgz1uy9
w0gUb13xVkfDrRQed6S+n+mv0qn65GANJaSIpF2uwf7QjsxrzMh3vXC3DMhxtclbWwb3RbaY66DA
GlIDUC/pK4IIXSBhniRr6Fs/QFUIVIAn3BbndNgn6Fp9ie23Tw4sNPek5X3SDcEwz7+jZPrkJ/1t
jMx5KL9WkPVanbDGAomoZ6Xb1G22fTQrfOcmIQEztpIbq0tO9WjdMtb8ZmDPMTt9pU/MlHV9rwXj
3u+1rZ4UdxkWHkH7zBCdgQBRKy461kgjhkMftnwVr/rA3xpWf2FF6Ohlu4nxKDBo79d1C16WVcmX
aag/8U9hFcdpNPekovFNapErT6R6Ta991bOV1Y6FqA+L5sFbQ+Q/oj5JKKFXSRO1VKQz21XX25li
fCqH6kW0MPIb74Afa9MkdhTWottXvnOgt2YJ4AQAisZPU6c/1V12C5MX56Nkrjnw3gWbuBJ7Tzjc
nR6k7PGmqotjA1Ro1EiDS729L6NrCr5DZSMrjoxTUgMEqQZSRov53ETKRDiRjOvfZF1waRnyuXGB
RXUsqc0Aw03n3vRdf131zi0x6jo9aX83sJIcG6y7HfFzlVNcFk6M+rrVEV/Hp049qJb605yLo8k0
qWmIB2Zdn1lT2E+q6KmwNlYPqsA1TPpY006utYhFdMzK9a7vbRkuprhADLhaJnp7gSZay77iEH7I
RIn7EHsPBiDxDCSX3QBi+jre5Knx1S1ZAIv2U94lB900rnneIrbuchQV/dFZUr6XBVlSi248J07f
bAMrvy870LStzHe5ZZzJRsjYm7A8rydrC71wH+VuOJkaroilDkeggejC49CYTbS5gJiS6ozRGdOT
pKWevzYakDmMSIKAIEU05xtA9EI2epthiDddolUhduxVLoawLDgkZFDtR82H2+xsSaTZxaO3JXp3
w2Kb50+PMzaWy1aW1XEW8bETkHKxCK860SD3ZROQ5iEWKu2iMokX1vF62ggYjPpQaOK0sIzru+bL
4CtmVh8AMpen0WarX+ocfx+a3P+nlbXDKNR0PdtSGJYf2Sdi6rpuSCvtGglzmuWrOr/VMJH++iI/
SAXfy1BIL0pXhy7RMn/Yi8Nt0F1EXtq19D93GMiHZ1l/iwmtQEj86yv9rOD9eCX1l3wQJdYRtsQl
4komEew2g3mP6PTlULuP2fCS1m7468v9fRvPu8e3SQ0EYNv++MJM/PB+VNTxedRexHBs4y9V8fs4
5n+aLX/2iqiWKZa5DO39D+8d7g+pB3OTnInhy6bdMM+bAl9jGe9SBDim+IfA3Z+8ItR2NC1IGBh0
/zhBUAwFc9ZFeiZ7AWME4+F41+T/8Jq+n38rOLmS9P11EfXzD59SH2nCcSMugtp6JbpLWvj1v/5g
vruCepkfrjCKhWkpa/4zzAgXJFpe30fwJ359EcY2H8b4f38ZP3w0TT7nzVj26VmCuAYpF6RnO+15
wD07rJH7a3Po/+GKP/t0EF7qpseOwgEE+/3LylMfTm1mpGevvSGJJWyKgxd9+/Wr+tk1UKQzVLX4
iKCWf3+NyLE01x+77Fz1yaZ01/ipwql4+PVFfvbWYWBGl4OR2DN/hDPXU+J5aUqYetc8V/hA6RQz
5SqI7ghBtIFJTNHNr6+o7qm/RmO/f1gfr/jDhwU8DdiiMWdnHb0UERBM8P7hYWB8/86xuIKw69nM
8ZBeuHxff3j49LWd5Ik0ynN2iYzvwOF5qkNn49wkt05IhOmWlPDtr1/V95f8+6v64ZLQd9jJNGN2
Hl3oamy5zYCHQr3/9VV+/t4hKdE5OQlH+OGWcBeyrgQIuTPBq6EJjsMX//DeqXf/x08HdhJ3G84I
3Os/3NgNMScQirTs7NH6wrum2nxJ7RghYvYPr+Vn79jHK1nf3950xHXH8jw7G85b4t840V27/MPj
7eeXwGWvPBfo+3641VIjx/S0xPm5qq4dvD0yNVfm4P7DUfezrxA3259X+eGjx3uTiDnmKmn+pdCg
SGobZb8loJUVnJbvCucfPqO/vSwTIrWnPBgcRShgf9hakk7nNaVXF2cx7truZXI37XL7L2+0Hy7B
LO3jYxucOm9o0hbnaSF9VovXM6EA/z+XULwtnYLnb26PTMpSK+i0zn3xRVsO7Aj/4QJ/u5V5DdhJ
kAE6DN4Y7n//Gnh0epOBO/hMnVcOQLOyA0Y09Dhv7y/kv6msxVfyf+9p7siaWUEuFj8LmuE3/xzL
gl0LXComThe1j/k4liVJnNvX5GZmogAT48+xrAU/QzHX6DFUWLha7/whAXB/A6yBXwJ1JyIFvnf/
Rk4OMv27Bx4SgMB0DPhujskJqJhx398l/TA7zpj72pXnlBDM68OYRmo56SIpVzyA3Jv3miIEZKAC
dMUMGBU9YAIjMCmeQAFYYFGEgUaxBnRFHTAVf6BVJAJCMD+zwXkEvPPS6O1pZkexKHYB+8luY4Mz
iBrrIQZvUCrOQSyKW1Yrbcj08YsLCgFfTw9uXb8JFCVh8vHIdln3pEvvm7Rduc2m5q40swfPAK69
5CT5DZq3bMqAXf8A8jk1GnA+2rTNSCJfkwwO+gftnKF1uynXsPxFFu7/AfjTwhB07UQ1pnq8u9o6
kvZLU4zafJNNoz9umR1MDNTqXtT3Q5vpDfIrw0bO15irup6CbWMwORv7udygzvYYkVib0UHBnnOW
DNksGGYWZBAjGxz07Kvw2EzpRHPC1nRWlrgqxgezBw0dzVOA7gA2G1LvO08a+QqNwkuGG3slA6yp
+FyR6dUjWXF9f9Hq1WcQGxlxyUVCvBTIHgOhUGmbN20ek9eReGh/Z9hGybjJPfJX0Cjpa6nbnyq7
fixTr75uFllfEiIxh5oXbCovuLbi5lAV9VVv9LsS4kMReBfSiT6xcDQaoAYzfUy2JVxePxgDWvCE
1425WTIRcjFS6gVrIP6eJz8W6cWY4sptePto/CNNET7Ka4wu90S0A/ppPBpxjOX2u8VcKLd5/m48
795N6MbknxZzvtF7/AO627f4m/Gsd41+p6Y7kXKzLwxHW+ztGgb8Frs7aacHCC+7fEQlrvzwI8Z4
4ZfXMgADI02GfFjnbeDHPbu/JHMGsCnZEwGu92S47iY896Uy3we48CVu/AZXfoc7v8Olnwpjbyjb
PmuwBq0GVv4FT79E9bfVlc1fevOlq4z/fOQkgQ/ZWwYTYOz427Q5djaWAgZA6lrJxdsBLH7BsLCJ
lJlCDMVpgTVQKujArPADqAfu0mH6XGn9puzvu8EwwqANbmK4BQ38gqpZLqDGPOpBNjHBgLEC6SCd
MxYIiBQAgb+UCoagee5WCVNWFpyERAETAMUpoMv0GkRGvdGh8S7ucjVBWUD++GRCXah7bV1DYTB9
57PV6FBmFJ8hTq4neA1tN10S1fJYKJCDbs7bVqEdUigOEawHBDfo74E/UOl+HhUOwpqiy0ABIixI
EUXB/wY5YlIIiakrDz5MiVENdBRkQirchKfAE/k7gwKX7By672SKRFeUCs2NnzO4FZWDYBbi4beF
RHYwHc/A6rdTMJKCy59g+S+CVUA52Bosa7G2jAF8mAUFofk0K2iGWbIHmWz4svA0fKNl8KEQG11n
fUphbkyMaQoF4ah9+8Zi8kqleGMqTMe8jCdHgTskBI+o6vwD1fw+ge2R+vlTZuaXzPAfPGaqqwLv
ioAGYjbFKYEOkuvDE+G5d53ChpTwQ+ySr5reEQBhXksFGIlnduHQvfeFCQMXBgk3yUWtoCQJdJI+
0rcEFiDKGMZPpdmyiML6PEI0qSGboPY/ktVAzsGkHezZ3usUYQLCYQkTZWLSGiz5pQwEisHlRih4
ile2RA13R9lwy/olRQKcFRCALzkLIwQwBwGHhfHkRQKXxbCSxxFOiwOvhSFEsaJv3o4ORm2ILjlk
F0MhXhZYL5HZXRKwd1EpCEwPDSap8yOM8hcJJSYoYiKi2Fkb5JOGGTJse0y3FWQZ8EbHFNLMf7XJ
u4ZEeR3/d21yeuu+vH39u4BE/daHukR32Pw6EPZ93yVB8q91sfEbuhIS1ikH6Kg+rIsttCWUCSQG
k3EXBO/uuL8KE88mkwXJooWSWFUz/2JlDF72x8IEnYDLNIuSgnmW/eNA0NJM9jRtnl8bui26C1Jc
Gz1MoXJo0B9zD1uVi6Y95DBuSR3P1wNxKtCN9/Jw4GG1qxQiVK3HhP/IxqlZNel4D0GsO+qyqJNP
kaIGuqLK0fCyyijfkYI5QJisFPvGdICrAx6s8/laasXILMV8jSiyQ5Ikjw2wwsqViEnAF0owho3i
GQ6+fATt+tVtvNvGqvkHCBnfx9LBCebXe7sPbgR4xBFxx6bMSkXDgp3YTCJ/iMApknGORF2fiYKQ
xrUPcnEqid51FYUxVjxG2flAsqg3ynzaR675bCt241TPw2ZUPMe6bscNg45s31glwSKd5yPFjsAz
tsmnIW/FuoLisItzFMCL0gJbShU8vAuEJ6UVxmrFeL59lxCbSk0sla6Y1OBmkyutca9Ux7rSH3tK
iewqTXKt1MmEYzrXKeUsBA20yzMi5lapmRHO1MAaUTi7LVTyTqmek3cB9Ki00Cai6Eipoyulk54T
ROmULyxz32XUmVJUR0pb7TcdU+kymPuYv6Fq0wvb01zjEFAp5FtTkWtmLzc+G61FuvOgofEh3y1B
tTpEPsBfVaFURray42WrOyWYpaCbQjnXcmV1+Rt04ae2zy9rHexs6U27AqpkiCH4hCr0RDHCjVRS
HDYUp0l10Zjds6nll9mEFrQ1y3srTgAskdNrA280Y++qKiWczESgDHKymcPKstDrYelPsuUEV6Ba
6fm0yRv4cZY9Rmzck8NQRrhYIjYi0jX9TbnEXxZJSxjpyDvJ7CXpTan8naBKWEU7X9iKA3GDOo8S
SPRrK5GbAeWsV84PsRRyzRPYYYc3gv+akRVEmOiEO5VrX3cAc8ZlipgpBqzK/5nx7yasgTyGu+Qa
KxqzE+Shv9jjbk7Sca1Lne5ggkrfQbGdGwJWdF0cQe6MIRtic5Oq6lSnTHVVvRpRuE6epK5TtWxU
9d6qRYoaqEoXdUqAHth7K6P4K5WcYv1A9lT1caYKZVUxzyOLelVDD6qarlVdzTIl2Prc+rqquSu9
E/E6okSiSmZZDVM18+r8olLF+X/nx/v5oQZb//v8uHv9wu4c+9nPetuPZwgidmR+TDAYBP8uNfxT
cmT85vP4dv74Cb/1hwoRXZHl2rqvhIHMJ1RK5R9nCAnzhm/jUWA7E9D4+v/qDPm7vh0KPc01z2XE
/ObfRiBWNlY9C/SJ8srXQ3tImy0W5mzTZCOqDim2PEB6C8mFPT5PWXlsehnsXLrcFTKXNIxm0oWi
yjfQHrkbzUd9V86VF7p6qh11sbw6kbkQ/STeJrftEUSgDmmK6M4aNPdEYgqantFqt40c2yu8mpss
Th4FD4uJbgv6qn9RCvPC7oxvuZwfp6S88Oz8ui1AVxnmPkihGAdZmazSkiCIrKCxw/RUqOYNY5qC
5tqO+5Z59sPkai/5qL1No9ojQ00P5TTDxK3Lr60qdHNduxIoDtc8Ummj86lajYH7eU7YfDLdN8LC
G1E9octao/N9TMr6xnRjhB0gH73ZHsJ2EOMm7jDVneL0gJDjlkYLwFz0tihiXnV2DdhqPEyvqsDd
LjJ7KqHhRmb0Jamc+9EBOKtn3+bYbsijMW989E5QFmFRjnH/UGsCWcHARnIokgKAegGEOrDadefO
d2UsnDUKJXvf+3oWWkUC/bAikXqpQSUTNo8JOMqCjSbcfm2LeJ8ndr8qNWvHQZDdwik0UWsW9Sqb
bfxGKRx3p0b30rUKhFVPY5iDCbpYtO62hpO9sgGk7AYJXwyuyLqzRLq1h8zZD1Ew549VrHnxyeyX
8inrHVLVClQdvH3jEkrLnVajTCdaE/9bDzdJJvRTApe6VWKUOolI9MFLxxL5a1nUnrYOjCIgfdqI
tg5UumtPT2XYA0MOY3Outo091adyMdMHn4a0Q7i2B4T6kmMWBnEJz3eyM3OtNUO3NWf/Pqimg1Wy
KieCDOSSUew7w3jQhsjAzjdZGxkt1W6cOLtLm1Lf6+Fy9FWwbnnQrkg1OUnQnffcAR6yew/bQlvI
czXja/eHqbkHT/25ZyF09HJzBA+WvDVGwpLdnnVof8aVRr0iVlAGeOsdI/TIhd13ZLXtTbCBd63b
FuiXvOo+N+nGGiNNwtFu7mtfrIVwtdUyIFeNU2cvXQqyIcLfgOuzRoM3g7ULsLJZnQzLHNWRk9Ke
Av3wQUsTaCdm/VVGTdgm06M/o6WwKn3GBAgdPbYDyJrS1g6aFmCDyCbmWksbrVNfVDvZ1PmX3HL6
fTFMLbGx/kU+JXI/LoL5gggWcmAISUbfEXQ3k2VElwlwqBNUg6uekhnoPOQXr075ZpZjt0UqI9fC
JP9L8xd0h0aOM9GRy+a/8+j3fuaXs9YTGVBfftLOfBiz4ocmXZUVuGoVELryow9HkTqHWO/Zv4tc
/zyKbINfwhVBMcfC5+OYlZ/gh0ZCb6GA9k0F9PgX3Yyt9gV/rZWYstqqkQFUbDDTJTaT0/DjPqGt
W7jYSZacWx4m/r7NJ7jZjndtmGlC+RVrkUYIRIPEr1sNzaIHJDl4dkQZJ0W39XXQrHeTa8TBt8nv
951WWdEraW+ZvpmmqtCOKHv76MJAiGhs4kXT4rOdVylnR2snKnd7MCXfzcVZijQs+gCOL3hKzyIF
Y3ah7FNlB4jfwAV6C8FSaZvsvWlgb1BkjraypNc5sFS7IAursqcnaaeiu47tggiywZonbxNjVSJN
ADydvohBe3PAHOz+u/V/v/UZ+//vUuxU/1T3ze/80cjj90DKQo3DCP+d0P3Xnc+XwmVFoCNjcl3m
Y/TYH4owwnkojQiE8eDWMPf/owjzfkM/TqwYiS//PsneCvjmfX/v+4S+uPA76Oc9lh3q5x8kEP3C
qnNwBvcKsjCYUEYHDSo/P2nttSbjEWLKEg3MijTTTYq1LyKvRrhcEk4wpKAeEWrqxckfUh2WK+2V
68Vhj9nQRnY30MptgFGbyJ2Z21M4TAIB49M0EFWxXvTYJqkl97SgOfTUWc0qGB1XkvDuwbuFhRZv
PaeDliurJ6b2hNuRzSGUmb/vKYjaUR9XREuUaE+0njxy/T6rsLRULimorCuiWb+F/EH0hMGMt44a
wlDKY9VGl8YkH2ciwlbSw8jeNOVuaA6Yv1HpxXQxqZulYe4J0kUkoMfUR5E1RIycYZo8lV5wNijW
yCGxVtrQ4xvDa4VRw2ugeJDMjkrMVC1eyhhQoBZeGXFxLFMIn6B+zn1dzdvJhV3oDtQS0dgKaJeL
XOcCVZ4+V8tmdhCX+bq50Z1hXhMUSaiOP37VbHkkXQHoDbrvsIyMr5JDMhycfkv47D510F2WRnGZ
+WYTpl33ODhUmlk7XfYDy96RMeZmqa07DeN76w3mNsojeKFE/ERd1BzQJECVtOurzKxv23YK2eIe
UwbRiWTMMSqwltdu5qH4bM8NlIJkXAsLJX2Rr4uEOe7YxBd2VDL790kbgJS3Qg+fQTOo860/e+TM
WOLE4B6gT9ER/0gcqhHHTwNoBVQ3AQkHM9A25sfYQklCtAMRGq2AkzriUNS7p7hGxL3kzhEb0p2I
5caVzH0yaezzKruNq/Eydax17qUDHrklJU1jJjceTsy+y6Mk1Amup7f2Nn5rvdWF0e8NIB9wkuor
x6jELrEw8lv5A3u9xzJr4Ye111rSIP4McjyoBc9Wv8jI1ykfJ8/HBUlGg2496/Dm1x7Dl3Eq7mTu
HEgKAbOrFMKJj9Rn7jNyYnQzOTYNalwrWPR9Mk1PFefhOjPFk4ymR8Pu7+2eMUjcLbsqCa4pXkMt
Q6DuiM/SQ5dKts8UDl7OkizH6OOzz7PEcAexFSVeZoAeneND3NvxvhXt7eAuz+ibX1oHkoRk40Cf
krabbAQIa+vDw5ii/jVy8nprN7nQtPoCW9prBf9ipcetGZq1cUffAXPbvm96fadZ9XmCKotAwbpT
ZMe1n+gghiRuyMQ+pV6jhVaebmVa4HbwwGga82sZL3Kfz/F+GDublDg/CCsNbz6zr3orRPWcVQAt
ZpUhXMjFPwb6TAyRgURSX7rL1M23JVjSbWSCECLR2l257AmLfr5mr4eamTl73bVX0C4eUO4mF3Cl
CszR8i1Pg1sY/97KtSgPjQIraL/M36YROMU4kpAaxaYdol+Bx9GrCFiPWMSoGO5IOuTWYYK6yg0N
NnvDxq2daye062Sfx/LVTUS1EVg8N9INIA60J0Oz33I05xCUChtvCNEyDhkzJKx968iciet0Py/1
c/UeRpO0B0/F07BrO+odgTW+1EitGiCRSNM+xIKg6EUF3BhmdjJIvJlJvmFLdSRlG+ludCyL7JCI
9i5K2m9CReYQ+HQ5k6Hjas19o0J1rJlZno6MliBlnnudCt8ZSeHxVBxPRi5PpQJ6vAlfXQEgyVHh
PZOK8UnH6TFQwT5DrfGdVmE/VZo/SxX/I8kBwr2mw5WGpBhIE8rsnDyZ09vUsSnwVIxQNdvHxC2f
5cw7agTokidhEuBbP3ZkO4ZWDx7MRkdDt4hC3UP2ayF+7usvgWm/LJ3+bTS4GQBQ3DeQqdn8GNba
KUTPI6Jqt23pnUdiwGIrMpgoTRpZ2uMVGv9bXiqWoOR6KW0kLbaKXxw1c7UQjeVxuK8TXz8MNXZz
Jo3yYE/OndlEnxKPzNauSN/KCWV0ZGP0NRCS7Pt8fLAq8lXRUi6YD7oRAfl/VdLvVRIFyv+ukq7e
xtevrz/pEPitP+qkdxgDywudSRCOVBUF+aFDMH1dR2nKyIky5UOdFPzmmC4jLrCMBNbx63/VSUTt
6c77fsI3KW/+VZSJZfGXfV8mediIkGMgFkElwV/xfZlEhGxjgVyYr9PqbM2eCE20ACspgge5YBfX
ZyJxA7O69Jfilk7389wUWuhx3oFWK0hoTXuwKSK46HO1VeSbJDX3c5Dkp2IIHpelfbCm6hsi8m2r
uQ0YMu+5aMpm5feuGXJ37nSzvESzjlo+GgPMWjCs9RbTBJBXoj7yR5clxNaCf0tCVBuaZkTUsul8
ygvvMZ6Xz1rkE9+RB/upHR7yVJy7wL5KoUnvEHHdlVjV61rGV9EoLpi6NKtZ64+GD2RBwpArZc1r
XtYZOeutPxwGP9kigomw1FTbKtGehgbwN99tJI9XwGW3i01WOsyfiN15j/RjGtacQNvWx5+HEGGF
sfYrZ/51nxsug4V2vlu0knl4BHGu6cOllQB8MisNieyj/aq0jOBy57lcCJx2p8hjMq4XLKJTJiST
0VOoRmSN19nan1SCiUrMnm2VSbas2C3fufhoII87jzx2gfHFHGzgt4dYkOvm1FR30gWR8WBMEwBn
fHstgeKt0JMN6hlgCvJ3skKiKAtRvSiPb3rpuyg2ADHohdwviswwKEZDFsc7BoBj6C24iiOcKLYi
OmBRe2sy51Qo1gOi45dF0R+QUIMRBwghAEOkeHTARBDvVrM46A8zAAnZEcPngpQA+qjBE4AyYXjj
KVDciZzIDHY/T7PtXpSKTFGCqGgNp32wS7w1pX1rvEMspgPN5U5mWUSJGFGyptEexS7J5K11nBUL
A6KCd5g1JpILoAxtxLPlgs6AKILTE3yGOqJ94BpL4CDyqBuXTU0FKEsjBR0UR4rHeqUD56jMaGsB
6+g1dIxdNzwu8P4LcB61xXsWAfjQAX0Q2viAZeY5LruzVCQQKXxKuOVT31Ul/3yyJ6bDA1tQbiow
IuXgcTcDFhkxhcHufxVzuiHA8khJszYAkbjpJNaRhTogV5SSoivuB7t7SBS/pBkYNoJOOOLa3DQL
DYbwnltWWqtucE8di0B29DvdIopN0VH0GTMhuBQHbAozya0HRgWjwrVscKO37mJSW1P4t0BXlny8
AiexzauvOYXbADd800/Rrk4nFXhoU6Q58zkFPujrpJkHhNtz7f7TQmg2KhzztYxIBnP0XIR6TyRf
EWM3H+d7d8EfK+uCoV/n3UNiO2K6eV785FQE8sYytR0J5yS+tcHXqNT3ZeBzG3ktMc8lN2CkfFpy
E2Xmm5OpYe5o3HMbf/IEAwUjqq9E6t70gfU1WOZuk2nTuY5Yz5W9YYeURR65aJWzKtyEkB1BaoOT
y+I858FtDl9LAe/JKh+JPy5nAyaaG3yWkXjNi/YcGR29jOdE637S6SrmNth0mXNs/N4+L5a/Qy2V
sC4c2+yuqYwv0WyZ5BosD0tdX1pL/Nkgi2AohnkPPEDbiNy8SljGrvom6bG2gXWCrPVWN4jHBthT
UL4aZX9sA5AuAe9A4LGgcooujOzucjG8ozCNi3QwDkkibjvyLDCLWQd3sa/koB3rkleZ5u26EYlO
xoRmrxHIrlHQDeS82Ov/jvzfj3yO4V8c+a/Nzw58fufPA9/8DZoFOHgP6aWNh+DDgW+ivGSRylBE
V/YSNM1/DUYYIUL59dhnKX7mhwPf/81w7ICfWEo4obO4+hczQUuBOH488RXFSQkpmLUg5vz+xO/a
vrQdoq+vm6bnVDUFJX7AY7tx5gcja3eR2ilPRruOmuGzPkTQ4CQoX2kfeycq6NS0h2Bs17ozn5wF
u5eD+ZVjmTl8nF67pILOkX/Wi9gISdoxNy3GylwGp8lyLuuy3vlxsB8yk2wQgIa+SyRaF1cZrtvp
znXqYQsb7U1zqyNYAXwrox2fPJeQca3J4cq0zmY2OZCB3+1KKz3ozsTmwPQfvcY6k+Fx7SDYWA1d
NQaXyL4ILJx3kcypU5zgpsjiu5ikh8qh1ZsdPOpxUesMO+23qY6z07IMzWsluM7sjDt2M3FokdjL
zn9P/oi+jaVBelMxJRsRpDqVUtxcDHqcb8yG1dZggq7IkzZMC2cbtMXneEjXAosMgMB+N7Qdnrfa
znaIq+TW05NtPeV7oJQbyXkdtn2y7uzCOJhzfbT0Ir0wyOaNiG0L/U5vKHEIB8trGpXJvWuN1IX3
2omQEDheRdDZsEvcQzXRztRLQJHRO8UBicuVC+zWqioR9iJ66WP/PmOfeEg1a2/P0Rti92pVYlv0
A7dc96SzYZ6A2qjZwEuSqGeDXur3aNtwnUrnQByLXNtxwxFc7HHNe2HiYIKOl74N67SPUJOPOnS9
PFs1WbBNSfbYLEk6b9qIPtKJ8y+dQdbK2KIlFdpi3gat4TMezuHgkgVJSnOy1pCnbMdJD3KIe2aJ
vT6qDu6gOXuGvVM4aX5+aHxnLT2bMTKF9YqYiWwnaqdo910f19EdmyvtwnCTr7FWNxuf6vACGgr6
w6I7dG183+uMu3Vh7m2tESEo902fDM5m9MFujVV9rPzu1Pflt1pW3cpeJqQ746emRz7HAOZxMFtC
m5lHUrE2n0b2gxuvXy6HSl6WpW6HnZ8R8OqTsAweSUzOiQEEXwntUUwGy+Bp2Wcm0gg3tq89lCUD
CBMnZRQFv6BeoS3ZMSW8LFzOSz0QL+yCrkc9fwhkglIOYmVstkxlgHeFmdGmnEZ1v02T6jXQ81MS
a6Es4mSD7vtUseYTsPbDydO+plHKwnNuw1iLk1Vm/h97Z7Yct7F22VfpF4ADcwK3Nc+cSZE3CFIk
MQOJITE9fS/ILf+S7FaH+9p359hBFl1VyPyGvdfW361YPiLAXmnAHxc1hI/XrnbWmqE9dzaEzL71
ztZA82qMbnrjpvYLNptjY4h3MTVHUnQuk8EkIJ7sRVNSSpSleS7qfJvpVbaWwj1aQ42uEdyzZka3
XairRRqPL6a4T7W1PXpHGccbvyPbPojiellI7T7uoIq2aXYDYENjWFM/S60FRaoCJizTdYRMeula
qCp7gqHjZK1p7m6aaRtQpbHd1zhFGVUsssg/C99HIZhesYpYUjXtaxMfbSeGcJvm04vvdu0G+tnS
ZSXioPPItCRctl11Uv2092X8BmJBXwSGsfLynrs4Tu7azHnza/bcLGkJP6voPjTykI084CEuIVlZ
UYviibNw4U8ZRLoCueGf3sT/HA829+D//ca9g33yUf+9yZ5/6q871/jDprkigf6bN4Gm+Mcm27e5
LFwcqqwePHZk3+9csIZ4rtjdEXdBaNLMq/6+jJjFIuCN5+Ycts18Hf+LO5em/u93Lu0/SmF7lj7S
b/9853ZmYRKX7I9X+Bqbja5lxboBSpWiaveCCuJeMnCpdQ6JUk5QyHPfqztQfFvHS1Gzzm71ONKd
01AM1aJL2DsoqmubHeIyG61mYxotR30J1wTNh7wxbZZ7rt1qR2QYCOiS8os/GckSHsPXorI5oqPp
Jo9hpQd9SfK87LKFFYor6MLdsig5w0OJ3Twue+CHHvsARRwzOzjzJrW0bN/l9L154OBQj5ydJpAD
OhYZ30aqCkg5buEsY5nespr86NPqrqSrlHlfr2rd1fbJoA2HEOTCcmp9eaUr9wVwFDcBvyUw0jPg
sR7QqVo1Q5Gtgt4/s2ZaVBbaX7Y2N3pKAJqSD3AVj3HUvOhILhKZ88dOvQnAIDnZDh2f4tydpPc+
+RkpmCNYDs/sjqPgAuUCr5aa4kGNsHL4iEXSyGoWjlduAnQHQqvOhSm/JPGsV2DWOodVMk50xrcp
Ni/gFPk/nryNaZuh51kV8A0L0s5WU4hcZMTrBTr6jqqGkGvU7A3KrcmNr/v91kS+pgx/Q/rZx+R5
8doRHUFODuZ8VJNsfyAtFKqRuARgfNVeL3d+6JeL3rSfCIk8I5oMV5Ut191gOqtm/AiEuzZNLjEz
CF+JY/hUImRunzrFqrWncmPoLTuszLwO6tFdCBdNp0zkTVRPr17FpNSAQ7OMMnzh9UzTKVx8OGb7
mCTljdJznY0DK5F5PzBVG1D89TKyQFwb7s3Qh09tIX1SAJtjCIlg1Wk5xCGXr6tHmUgbEiILHFkL
iKyI2Vs1rKrCoF3Hlf8og+Q6zcOKqsc9Br0HfbEi0Qui4yv7k/koLl/FYIH9H0jia7Rg2gVtCQoS
heRahmQH5SaVjm5McjXYob0I2/BOBILvVGmZO5A4yF7IRVVFitWFYMpFXKG+h0DOpqm/cY2I2bUV
wNzPSe8j4TV3zR1YORr/0CduvGlWmYboVkTwhWc4jisBpjgAUjBgDFclbLga1AXkyvQrCRRPSW69
ybG/TuYcAiPMPzikLrUZ5ou69y6YNPR14rGFCBrWOehJry1pvTPMl3MjuLOy8a1P/MtgFnfkwiVM
PKbnjDkNdCUn3JBnn2xkWCvuOfe5KasbM4RdlCTpRzJ11W40A8ArlMFmprlUEXAb/DC+K6MQ50MY
Z2sq56eCGDaYb6xwOvu11pMXIMvU/m1JLBobxEVcQrorvcek1oi+7A6AT3SYnA68c3kISmIFVcmu
zTGMReJrz21FzGJSnso6zxa9YNocheJLO5kYKELL33WSWrjJQXf31A+LqvHtKzMtPW1VzUKk/xrR
b42ozaj4N9di+wqhM3tVzT9cjfzkX1cjWH4uMPQpLNa5zbg1f5g/o7dnFw9ZYbb00XN+vxpRRArG
TWRvCzTy3/7V96tR/IFeHVEJfmgGEEyp/83VaFm8/s/tqKez9LUxA+A5pOHgT/9xT695mpXWaOOv
FJXmdKY4dpKLYeuJuW7bPLsWcdVRpWcOQPHqWs3N6ax8rpFAdwZDRSx8p8qsn2GYH7KmuI0RTbez
etpKgrOHnJpUeno+BNahRUBjjeQ60vsnVlIffgzDq+zMpl+SbH9DPPPGyNHrRRMC9YB5jGkrglDa
5Iy4hGGqhzjL6grjzQRujfkqzDY92HkOCWHV8cFM3ZYKk+3ZtNBROnJMSStxFwGkdu7jTu5FLPJt
JfyDS+SnfW8FLT60IO8TBa+bneOpTuLmOemDYqVIazGR8KOxX7aKbVlTuBglfaeBn1Y76Pgar06Y
MIpuWld1qFfgGl2f3X4/vCkXDU6fFU9COliQon7rdbgdZey+yqAMVqKvhpvEy3oGm+U5DnRmkQ1z
ALokTM0M9iLfWpdB92DqwaNWT/tWaLedyJdF1+PyKTjt29PQO1c+AMeFJ7k/MvOWpeerhO+aKaEt
yladlSiKhYD7BGmLMGTfuO2UtncNfFRBdfFC+WlaZAho/Q7D1QEw+i4MqlPoF5fcHC6qJCl7bG79
KNuZCYnqfgcxHrKNEV65eP8WVSbvMglwt4CgLvVt7zS3dcskfoDy69pIGkji9r1X32sOGQmZSy8n
azHxPwvsZ3bmXixSM/vS29pyAonWkGbaXDOQe66baTWzt6RmYEyMLlNJOB7aUd+ZLnDmds1gPk3o
JDvAVTa+Mz7LpUz6jR9Fl4RxZGP5RzaBxLG0h8RJttLVX0wn2QB1PkurfQtLaD3zRx8K/x6ByDIm
RsZzh5PRNe0CIPVFmRF3YnKpiWXGMbdsJ+3Biax9Bq53kbGbR4W1b2iePZhIflB9+IhzuyJ7gun0
UOoRDjBtE0jnZNnexlT5RU+o8dzROPX28AaNswUqR0REYZyCbjp4wljWUXsKBaj2eDj2Q7QvGwog
b6w/amHedv5wWzMxXQRh59ygXtnGbh9d3MA+j45JSlmmJ/uckSmyYbO0mEh3vF/OUF1BviH+lq+U
8u191jXakgB3uZKN/z6GwwVS1MrOrZOIw5uhat3VAAaZmHWxsqrqBYU+Xz/LXUnJIqSCB6ZZAYvV
7NzTEG+8XN2nfbC2tHm7bbfN2iynGAkA22Yrh56nReg3ZacVazMyzoFt39oskJcESzNXHfjEu8S/
TqS2bWycxF1S7mSUakutIWuiGowzqp5tSoiCQxGm90wz+HbwaZncc75qrlnQj8vCbtDBTdRGY3Oc
wz2I3D1ZFRNtazYLscs3iWrtq/yrtHM+jElb0Y3inAyo9qB83ziZty/bxFrVJbkcxeyTCaaB2Q5b
qlI3IU5EZBYksTzlcUYb3WozsfpLK5h9MCGBpJ1PF2VY5yGN312L6YTmmTtAVQ7CBrbnRdLduoX5
2EKXo6DYeZrKNmBS5RLtw9mBbLnobE4AuABy6ctCrcwqUAvYjdUmUeOprIwe1UF8labVQ+cqdxlF
w33oMuWKjHhRzPsSLyXGibcmqvJ0YdUJE8K8AAjDxN12tP5EXZYdI8dNl//d/X8OoX9791/Vr0X4
8fd7f14uf7/30echJzD5bWK2Nsxuuu/3vsFEeea0UBFwAdo/hgBYf/jc7chSAbqiRP0Z1UwdQatM
I23NGT//qiWmZPjl3meczUCbAoPwHxgAc1/+471fueRU9UIPsDuBdLemLPURjPrBURsq/ViIpkuJ
2xjVi51EhzgYn70Q1b0EBmxRh64I8ukFkScZbUdlcfrospLrIYkZ5aDoKx8J0gEuDJgW0HAxM4e1
b/jhXkIitrMg/miVHqBinyHFTsOcrCCrrmBJt4kQAFbrNmt49rLa7jZVnfDsIPZCf82EqQmUz6o6
li4wUWeYIa/1p+aFtMF0NQsnDgh5N9lkeTxa7iyp0izGoVAxiZUeQ7SFNdQ5UtHlVDJT1xk89zeG
NZ2izp85Jie7zPZGGO0HkneXjltDKmUavCwbvBRmY0cnabtbXWrXCYunWxl4x1ZGbFRDduEhqb+n
oinrpan16Xp0IeHXUktWolJXQ9tcaengAfVnCjCSNM6iql9TvLuYCtyWeLDYGuvP1Grv4ky/Y8+R
O6QRt8W1VlGcWTbyJQIYQulGX8qYdXDrLYMmyOGzEeNildEnM81kaUrM92bpcehT2YxWfqe5Tr+R
HitKUYFcrBkVopPydxIKL1Yyen8ADSvTKKKrLiTJKIbrsEAmv2kHrbx1ezxcZOUgwKwXlq+KhTQ5
h2PtbEzWBnA2/jAl7YfGNwAaYrGoWa5t2EHEC9QGhBZMGOalkM9OoNg1GBrz+0VBrNKyGetk+0MZ
fv2nvPrH2OF5lvM/omvygHngZkwQM3NUH+x6fv5iJ3rU66nfJBdTjzD+ZL35Go28T/AQyG797/z7
s/ehF/lN78Ma5vV/LWs1/f0MtPnJ72egafzheIbBYTanTf/MpiZvE84R0aZ/+ZC/9z7iDzZ0c67z
/9Hnc6h+733cP2BOOajoDEBAhFf/q94HqfRPXxV+k0eK7JwOAVJfzH/Kz18VP9BKHlpPXhVDzLRm
dBmSmViHMpTBMez2tZmwrm5M3DxZKjgGnHZfOQZmXnSKZZ73BwLcLZDqOIhbXe1CeJL06A6eqBJq
SKHAZYTZOhHJWx/U6FO6KkYGR2GXtV2xFrnjsVgb/Wvu7QenZkRR9RZ1WzqdxhRLZ9iWFAlPQWLd
55DXrsSM0ihnqIaa8Rr6YMSHHOJGYLMFS0FAe8gGF4MyP2CdqE3IEXRfVP7OBbWRyGHc6EMBZ3K4
paRgZwC+LdOqS8eaJbSrraM3yFQc9ihiDmAEclGP5blxMAeErbVNydlmnd98HbFfMUwKu7Vg37+0
4mCL1uYO380mGhgWEg/BzLSO910mXow5QrMf+ks3B8d704yzRU+nBiLry9hYDamKVlk9O9Km2yCE
6epoBm+NirtjFqNDzZ3wwk7g4Hts1klNX0+t9p4kGYTlqhJQi+NtP5F9VQUCWnCXErkS4bJQHEwq
866tEMuxRWlEaCk6jda6TdBnlM078MRPwa9TmC34VShdIqN5jcCbYC2jN7BFC10DPYE1I8AtyPll
1uF6y2zgemOzI7DqdqRkva5y41wNybDWK0OuY6dsVgyhzS1A/nt7EljNOn/lac4DicL+oepoGhFO
rNwquOgNIh4WZJsgzo5N2V73QblqCaHK+mJTDhzehhM/0VvY22LgNgyaPFr5WbWZYgG3dfxilvnG
LroXux/lPre6Wwp8ZsZT/8ErD+vByj46URlXeAKRWBnjdTKgtQrS6OwrLTh1Vv1m1IEAgmiYe4bM
7kuk5WKNjttn0wsqdK1PML0YKEJtlhdUkCCbw7K5GZqSgBgxzlonS5LYwHn87kmvP3RI071AbGo5
7For2IwODHMrqJ99G34GzevOTiUvwRpHwiuue9StyuEt9sJgq+XR9GDJkng7k7bLkuKOYM9ja4wf
WVSlKyN1buF2h0d36tZTjlgmInDTT4p16tL1I0B6Tybp79tSvA9CcCV6kGAcBJdwTZqbtkJxHNTn
gPS4Fag3eSgFmnf2XWxa7TWm4lmw4oEKGkZ+Agr1oujDcZMYwWcmg+sMqwztUqtfdZFiG6bIpQmm
7FiZhb6edLfahWpaaUaHHbM49InZrOLAfE4kCwQMN+0JRbt+tvra+dD1IL0vdYJFs84bNRTFEau0
/26nP6vz3y6srrPXr/+0sJrT1P+6meaILrTBrus60Llmkcb36pxLC/gWm2uXmd03ucdfU7l5YUX2
KXYbgArfrp+/biYWVhzsUL1YM2EEpKb/FwsrbFa/3kxM/wyIrjMFw5wplT/fTB2hTHZri/6qJdN1
abfpU9mNt6LsunXmh1dEYyVfKQCLRTxa98ipObgtjdW76D+1SN8wUrQRQ3MWhB7PcJF5hBBwExFG
9VaHaAaGjNOyU8WtDZsFrWYZbPuOeV2Okj2S4k1Z8Z3bTU8R63km20i4TWkvhzLKOb3kwZqlK7mY
teF+sZky847XYj8AyKZGOI38fGRS7YEGI87k3Kb+g83Un+Y6fE8a72zXwY1uD1dR2OxKMU8roDqZ
ka5vbA80V2J3pCqJcj2zfBfCJEcY6vEsJVugaF1alaLdsOeuXsJlIgRi47esjpCfehzn0lpbabB1
8YMsSiunpJf2fe3jdB79lbKstcJ8sCCIMGbuM+5ZzNnLtogI99KnR8d/J4SSKmCYJQgHDNJflD7F
jJcYVdpWDIZnRALrdviwnWH86HRWNobYCEsjuECPHkODFoTc6iWgK5IbcRGxpEdyIAhjEJdZNBGW
9WOpOW9KjUf4BVstnVYuoQBVY+xVkN6YZNyQX+XeerxDAff8QivrTZ9ll9r2b91Yf0uHSV+A5UVJ
xw4GSEn/kJv2c+L5Fyp/plVdYW+kMmDBDuJICOG9llkFQCX9Me4SNgZFwnwseJBDfZEI18KayVKT
ZR9EbL0MnXYvLXUaouGWkcWGpeEXPNVfsaogxIU0tqwl0Y7TDOQym+pTjOOdrrhxK5vcriw99YlY
0bGtAvvTkM46MPnPmYN+pJhvRntejYCnTzxGOqHYTomA7laUL1bhPmOZZqAzDq+26vl+GRWaixBr
cNeWzOayd2ZlT35tMbIy4dZn7kG546502/dOY2xsRta9g6QjpDHBXFZdG3rfMo3qhhWChGhRa2Oy
0iISGkbLm61V6WPS8iZN6IAXDgUPw0TztnXl2pc5KPu89tcwx1nAgO6+mKp8HBoWQ3uLZ+45R+dU
zpCWKKTfmVobv8gY3Yx97e+DFHt8KZoBzBHhD7rqbYA1RoLNKUIhqMlPlD6tz1yualEvRkEyrts8
raaH7pts2OkGD0FvGKT2XRFYlCZaaD3GdsLYFNkxWFtCqxEiD4WNInmWJnsJDWbhb7FQoVo2PG8F
WTs7xJi61znw9rXsreeycxJo1DxuWcRXuuiJuIuQicTAgpZanK9Czx/uPIlIuoyiqyGa3ufOkHwR
bxUjs9ZZO8N9o2kdjGBduF60wg60yYS4DLa9aBFrT4DEYsTbkUfJgPV1w6W3jyk5an2kqi6vs1ht
GAi2SwBex1I2jAWQhttREV4yxOKp7d7x7hrbChl5kyDlRVbuIy+vLZveOujfGtd+LEvrS65Tj5tI
0pPMQjldTdMGluajQwWKBAvdCbHHl37WtBc96vY0yk46cnf+qYl3iVKwah0ELq5cmBXkUiv9HBHL
y0Q8yio+M3Z4YwpN9Z0Te4i83lWlDh0ishYWynDiqpD66IHxpg/JrYc8nw8PnX4ClKRNxUPedT1P
CFNep/eideWFK3eWg+ICwGhLHcu8EccKj55AO9pE5r6ZxaQxqlJ8eSirjQNYuSMYnBM5OaynZyFq
1rsRWeU5BVfM2k8JIDd2bkzrAA2rFk3tpvSrZNMqP8Z7qF+KWfLazeJXExUsjLlXbcxPEepYbZbJ
UuJ81Wbh7AhPaFn3/U42Nmq0ERePCKuvfUk2pDZr39C1PsSee8S29jWesCiQrpHfI87aaYX5QJBI
vgwkn0YmqPYUnEEvoPl3+73IZbAKXMXSm9tBtthyevRKecZ3rcnRCCwyPSR9udbnyD7GBcWaYVlD
SkMLM8H8xk/4ryL6VhHN473f9utAS+vitX7/xzyp+ae/V0YkzBnWjB+dee/zVvJ/KqPZcqzTm9uI
Z8Gr6Fh6v/fsDv+GwYvvCMLh/9xyfu/ZrT8gxTCRYSQz7y3/HbkUfdAvlRHEFBp1l/IIvItp6b9U
Rv7gaJKkqeiipZ5JaU/0mQcgZe92MJu7ek5Ga6u2Js57JOhwiRrcwSXQV03yMCYpho9v+WpFTdRa
URFnj8pijmAbvqWxKea2RLOFQzURejJkaH04KZjVEuJmfcvOTMWc7sZQtSbqrZVz7pvXthhXHWRw
DOMFlsIpnJL7nHbxATRJYjI70EkLMoCnA79Koo2UdLElA84doCVOY0eJx8LoNLWA4tg9SuT3CNoc
OY1LuwDqwUKkKpapJWln005yTVbJs+ZIZ2f7BnZirsYAkIgRegtugviMHpTAlzyY8nDpxW6w9EsT
B6meL3MrUWddE/lFuEV3mzOpXdcEXdnLWBTdjp7QAcdSeS8mNKsJ741fTosOV8OwEF7sCESPmbjl
gsHNNrV5vMtqMX3NTQ1PXGiPTbEcdSR9hIP7ToJP0rZUWu69zmq3Ts0HQj+EO/G5jWvDWKdYjtZ2
QmhTwVYwolIkxK6bOlxCvTVNPuIbhkuE1dThVsDduWnqLnmh4GxufNEITLOuwdiUgew9OegX32ok
zgONd/O60MJOX4fN7GgJg1JV+8g0VHDlxWbynDJZvqe5zhTMVIVYti/0ONvpVkGKjeahjtlX4KeG
Qy5iu/9wey/88C1fbOElBJssjspqEftmhD6kGVmf1oJ7MG6+ROzd6qsK7AilVvtfL2f8eXL9tpeb
ccvnVzwYfx80zkqG74cWIXg6+gW6OdLm9G8blb/aORMrHwAOB6iHjfTvh0NL/MHBZM7hdCgNZxTI
/wwaEVnA52ZOY/x/wBB+XbXAuvJJb2bfM4MQzF+PrEb15BS7Y3+ll9c16UMjFfIPx/k/zLz5S3+c
eZNowaFLJ+vwXzj3pnM7+QNswe1Faimh1FVjJ4dYPGr6le/csCo3guu+g+i7/v3rmb+sj5jC/vKK
81/0wyua0HBjjiZ1ldBBsKeeB0Hjt6FQOc+H+rr0Dl2LTtmdp0eNu3GTsUKIPqBbbPNWQMVi2sRQ
y9y7Fq7rsZL2ymgYm1pedHLK7LHwzHQpa53iPv30B+3LDDUv4U0AcKLaT8J67hUyOMpmBLsng/mQ
h3HIeMndNuRWbRCCWqxK4nIbjEOxjCn7FqJW7Hgn8h5ICL3TetzaKr71uu7oO1a5EHF30qqATylB
PRLQJVTYwOyRTa/b3wRoF1GTWLuyNK47akHuyn2hQ21Ok/BY0o8pS3uoNZBdXfHSTRYm52jXodhe
G5iO49ZG6uAdIoKTET+W/UaTdYPfYzyXSkx3ouVW4SLhGL0rq8jduZXkwC2qXUVEb3szSZt/oPJ6
KK+y0D611IhQByeugaadVrmyKpis3sl1+zMr9hOQ5f2Q9iz4goump5dxcp+AT6EH44haAPTc1GSD
wdV5z7TSWfeOfR6kfaBhW3WpPLVBv6ZH3cNPuNZpu9GMcHqPJxhjJ7KBGFROub4Mnf7YdPpThdXE
tgFp58X0AJIjRFczEk6oiusibZHZ95d0Sg86DM/FgCCDPTpRC9XgobzvoCbZY7ZuEvFQtayYEk0P
N2YusYSqvt1mgdmgSq/GEyIjjICeyaL/3df6KzvybhvFjN6IMMBEUb0xZH4IsvhaFdpd39GJQMhd
4KNfe7G/EHn7LiKItYabIOPr177KFT2QscKps7KT8aZVJec6U1m3t7d93W10cDyty/jE0FdlWd5N
hX2dB8RU9wMs5jZLu9thjG7Js90z+VgxAv0Cg2c5oNG4l6hjl0lcfxYMNXCgbfHiMsFgfmBjVKAx
/dD78FgoF1Ep8mBOsL2Zz3hIK16DJcBaF15DYjzbToJQPscB6qwzUTA8D45NQ4giXsRmalmfahfM
RugatD2P7c0IgRvEOMJJi5BvoGqPdt3M+kQiL1NQiyRvjbsUcMq+zkCOxSGrvlE7pM10zxUKvi5r
L3Fd3iWdvkqSjq81rLWl8sxXXyWvifDOZZWhwEow88BMHhFW9uDJgs7bfTtm/lPc2ywlf1uus15b
vNZvr/Xr3y+++Ye/X3ygfrhSbMTy4Kz+LMn/uvh0AqFNncUbsvdZnf9jtY4UH8ova7lfKUAEQru4
0jyc6gwz+bX/Zo75t4vPxzFnmrjaTST+rsXd++MlYUWG1reEaV4i8iGbyzA8//C2/MO1x8z1p4uP
Cw8FpG2ZDgIG7j1H/NINqKCx28AZ1EVNzizF/hylfckCEIB1+8lWY0VwQLzKbbiChlbsmbfu6irB
7SlRBGouYZq9tS0ErWwD5kdFG7uR71rGQtv0T8pBvtS0Kb18lF0ZneGgLOrayroKSSKduSUEzfMm
Lh32dyMu+XFqFr3u7AeYup/IjgFt55GLwy0WK9uOs/fKzAJM9ka2thvTYyoSal8SnsuVn9pfVTTk
m9YAdISLuzoaPguB0PCuhBTaOvPqL/Qc1pqOic2JbSN3HphEWGbZImi3ksVYF8eujl9S0zw5ZEH7
fs5hHSJRzopyhwdtWtVBdR84GQT6+OxFGAsmAN2aTiNu2MMnkQmMm5FaNTnTFEUqayjbO5Hk6EDk
3qrAEOrarpDq0EqdZCE13gypd8AazLxyqldGmx4qIV4Dg+lHK5Jd6GsMjOLXFoXCohE2WiRvl4XJ
lcZkBeYrvmDzmczTg6/EDvPOyS4qh9lrd84gA7u5hXq/2oFCFovS9h+TeGp3U5pd1wHWiWaKjm2s
P8vKbMk+TQ62Zt+3GSRacyLE1pqg6EPdWEbNEK2VF+/HjOWrkzgOnnHkGxVRWaWbvijbh8yJWUrH
mRUXbbeJwuJAsOSSxN4nm7TbPnIuboP2u52u0ti+jXLQOSrIt8LuzlFf78ux34dD8hR1UDdzv2el
AyrfzO5co6QbTbInCIGPRiCe3EBtyto9eJNDcEH9gkkEYWbrw8Jpnkv+43EtDbiap3cAC2v87EvM
+ysrHU6yT5BzVCEp4iOG9tZrwAcRmxq64oWnYIPw5jkMZppw0yYbjVJQyOpzLJOdh4fctuSLqvVn
TdPvGgHNJQ2SVTf4S93J3qY0uGGsNy2iMTylyRx7SHwlTExxH01YI6WKYBtgm9bz/M036GI1Sa6E
Nwnn7A1NcYjhOeFiYe3luHeJb39hwh5uNBMXTCbnpyfp73QjOWpKeozb+goMArIdzXBuBw8HhAL/
dMSjNgMTrGbtZ7JbMCgO1n0DPqw1Xbaq7qPuMkbzq4AMPx8uaWQQ3bDopIvNM6+7oMEergXjDNKP
L0Mdu6eKMmPl81YsrFSGy1pLSXwEAr6yI5YfmdL0dTvh5C/aIL0twdq2BOboR+nO0bSjyRihPrbt
cCVt2ewLxWDRsGb1ilk1O0QNyTqM1Qk6H5dwKoutMTl4XSef8ajJlWlncl2ycATcHWdXgmh7RARa
czN1czRyIL860/hYB9arSKsd59s5iYx86RtEJY+ZdgpSE59QZpCx7DrDss3K/K508GGCagiyJ0Xg
bN/Bs0Y9fmUjQuVkWdaJvSJmUa1KWRxFJTgQDf5o0d8UCugfAhwkQuMhrIJdZs3gpmQpp/aUJdo2
cqKznulPad1hutUPvR9k7JxT1F+krzRxCysscI9GS6JsAAbpTfaauWQbQwi1XfX5fWrk/aYjFMMC
n7G0Jnb8kTel6ymO6/PkpRfLlDtkOTdGRbhL1pB4TITpHLuy4sjbm0agAPG49T4bu4eZPJSbObXu
QmWrhkDc9di3uc+Zow697pYvBe4qzl/tkz0yFmKFRouXQx8uXfsKsSO9AUCgbtclUbclwXTEBOQj
lKh4BVNl9wXu5RX9n39QKJCQJ4cwbB0XlYDl7RmIQNktxb1TlQn/K2G1nLPrWI12ALY1re7dYLz3
Cmf6MgUFaEWFCdRRobEQ/bBpR0/bSr0rtuwHymXGDy7qzlFf6hhR1OCN8bTM4j7iVorand2hE017
hEpejg8nL59noXrRg70SI+yF8kofxSGtxgcdgnGHrweEVPSgMvPeU5V/HMah25caUTBlkI10M3iI
pa4/W4QJocS2qy8K98wKRN20SCO+6JDMGLoH1heTWIi7wHSGjacYWSRKH/8fXeLP8homiCixSN2k
hRZgNjG8/3z94wNCfRMmxaWdCfvDtHdoovq62fy+CpjdhT92v//ndWh9aegsHvtfi4BWTHkaRsjW
s+wM2OaBU+naI5Oa47Je9KPPBzBmu46098xLd40ZIfUzF8ztj5xUJwejdeKnNyBTbt1KX1uRWir2
hUUYfJTKpTflEbAn7+LqIeXaX3XdPxQw//iXOzBKDdt2LIIVf36HnFyVceunxaVnaxiOpG7ny6g8
/f5Fflkm8zn4YnaLzMhu3iO+6D+/Cpw+Oeap6i4yjBqyVOy9VXIw6EHFvUGE7Jxk/EWTWXlDSOFq
9PV97zGoL0d874Gl30xJTh81qRsVWf4dinzcSB0tpUEjg+lx6QBSWThleIm1+ECDz3tu8ty4OWHi
46zrgcf8mrYZDnCCaSa4u0FjuOsoi1EttdZXjYEhOk4yqq3KRRbpE+xd4SuMAFFzFVHaRO4e2eJH
bItXOquFcthNDCI7j+hrFkKM2k43+uSM4C9fTAO72dBAYhP5DFqMOHwMlJHfV73D/WGEpJVLmkhX
tjvX6NddyRVn4AhnKoO7TTev0AQUq2GihTWs7BTor8reKEfsORefPY3VnuiN3ZjYzxnx0euCoKCF
xNFuafpqsik9Bh4zVii4BAYt39UtKfC5MRyU3r2msRl9ZWaxRSuSr0QWnVHMo09qqk1ssfKDqXOb
u24GXZye1p2GYyWa8++/Dhhsf31e+D78b/bOrKmNJVvbf2VH35ej5uHinIijWQwCjLGxbxQC45rn
uX799yTDNggZzm4RcfRFtPqiYxuoKmVlrly51juwIAVK0pYxQt2qFgFxTRN+Vq2ogG00p4wnAxTU
lSnlkDpK74dbosgDlmasmN3E9u/76NEpo0Lb0QutBcDNU/QDRu2gnhqpfU1vzpuVOBjN6lrWl7Gh
1nS90a/BQsueyqkeL1Q29Umr+PnELlBdAqP/WY5TijJGfoktQTdWvBLL6rYu6SPmeBzlMzMebovU
3Djg+saNklrjIlavTLUnd+7dCZiuiZmifFCg2AbqwLwOqMa0a/UnMmuoZ7aEASdamEn3Ze0EJ1ZT
jHNkKk2jZ4ZktPHVS6NpTsPAu8x943NsIQHfV9d2CIKMvFGemnlNLoi5BvU7UFoGgCUNizCZwtFE
MaWNxJwYZ472XdGka8VDkiOvBm3q4VveDBIiDl06VfRiLgOOdpIGPC4e6chb6mElj227PbZokrdQ
TtjmhQh69UUTVWwE5cq032itfJsDlU6gmNJ0P4XbOwmh1MN1P7ESc9bCx/QsHwMmlOlVx78IMylc
9vYwTXHlMiM4+hkJDfhGziUsxkZyLtq8+gXWaQ1uS8ji0yus6nBsIn2hushiKuaJWWpzH+YH1Fk3
nuKcMW5FhgpG70Si5xsq7bcUzqIr+eeGB+/TS2dqCM2ZXdxroTYo0fcmK2c5kG9nqVPQU9g1o3U7
q9je0SfIJrWUB5MolOZBax8POD5bDi2QVnEFupigO6gKcCsbtqd9DoB7gUv5sdvmJ9iak/VWkXQW
ZfBy+8g60t32OFOFb1wq2KWZr4xbOVh4GeWvklNCZCInjpUENCj8x85NY2qhkwgjNO5mZj9L9cXa
ar5RpBnZsXxqGjCLu7V+EnhtOWrW6/VxrTbWuASng1X7OgEgQxOTvGGBt1Q56U1rUTRkIVZKk9yi
ldGsC+Wdre2dlaptYZlVz+kDJwtrqqjUFMvTOMFVHhTiuj0Li1Mw6g9dhj+6Pb9Uo3vYKZ5Fhm3Y
kep5CacLIkOa3qE10XQwj04S9xoh/reDkKitv9yziUHgq3TVQkrPAmj1ck9qS/QeArnp0LHoMYrz
u3IMVE7gN9Kll0rMua5B3BSceAoQ69TObWNkBinAjgADgZbrjktF+gWf8aJLNHvUaPVXyU/PUtm6
jEjfOPWMq1K97FyYzUnlzgBs/EgC/ZvkRdlntw4bTNi9ah4b9bERyCMSi2kPYGRMijdPKs365qjO
ZTZgEaYZR7UGjEFTjwe3XxqZc9aGuKqzbVsSImBqwmKShBbpuMuUb3FWYI2yXgJOEnRle1QZ8WaQ
e2Mcte73vHOKb6pgYqul5r4zqi/rLQ+v7/mg0rt9Xm8BA5mA8LK7ld398Iab3n7Hrf29629tHOgm
kCO7YY/C3yUKM3RGr96ZFm/PCnMrk4vNOJRD1e1XhnqOR8KIYZLheL19EzEKLwgC91MP8ytSUsWg
+/NylDqrbD3UXvqVgyZtdVu1MTnJld9Z77wNgS98diNRnDJw3jQUtloa42SmL2/UBz7o0SFTV6Qx
t2xqky/RbD0BlDHyx99Gyejb0hw3Jzef/bH3tZtuoml/w4ouF9ry7S+sijrb9jd+tqzvH/RZs8Zp
fCdzXMJINcPXZyxPu8t6Hl94M2cqKDYzZc44z+AgjqCeTh2oeFN9ldy+/RTGrqd4Pju3pC6jdRnZ
QOn71XW3VKeAjmfOuTWiZTXyJvNvxvjEnMRzZ+XNukVyaSy+rCeIHi6Ie6NhngJQm1A6mzgT6aRe
JPPyzKNwP3InX9NRvZLH/dxYOsv0uF0UV/Hs8u1H3+523WfQzx99K4OW1NKPMslnXo7wZZqVd9ks
+6JMQB9N1hNvglLtLD5K5+e3J9N6iVtYNw6OkEc+ClbumM1nClPp53r89e2nUl8WP18t922mi++n
TWGZPJW3dEbeeFjE8/WXhNYK2kcjeM+jYowez9xe5Qv1B4W06dv3F9N3e1aZEMef1tFWtCHUSKid
991KHtKp1bbHgxSumlp+hDH/cVMSUeWt+2xFHSi2WtMMUb8ipx417a3cLVpsbLRpLleUomZvf6vd
Me7vb7V9mJRigr+RB/XKszCJW3/O3Iv9brB15tM6pMLMmAMUouNqQB3Qea8b/M6LscRCfLbcpTiz
EwsCySrNVmUczjIVgUj7nVThvXHaCm6lEqFBbgXVqhNvBSM6pwvGb4/Ue99ja4LV6VDWSRn3q7bp
xr65Qk52TA/47Zu8M7usrahkrl2ppzjHbtCZY92BSRBVZ5pWjy2ICUGrQlx5z6J75/eC2Gsp9Flw
TNy6pa0hfpL5Vb3S419FMAs1jyLf/O2vtfP1PLvH1qKJ4CFKuad3KxQ7qd9fxPE7VYX3brAVEocw
7rQA78GVTNCmGB1q0Tsz7H5/fGvhb81jz6fps46Yx5wNRminHTWL8JQjwvgItvfUPatH8fHbo4bT
2NuxRnzrZ0sHdJOmVKrHHnVNYTghqp663HvUbpSTYdmMzqHA8oORMY3HUFYupNHnaip29fPv+bl2
xKkdjZppX40Wydibv/d4Ozfy5yF3e+b4RSsraxadciY2cmlUziN9mSjjUTjXJ9+S0RG00uNf8g2H
s+KqP25H7TvRSxXh6a2XsvXeG6k0vdzpySUmWBBMcE8Ao+8cR5PPzso80eb15Dvy+qOEiu0MyYu5
PZbeidDvPYK1dSqSulrSkzarVmiujroJlc3gpzGDenpc33WLbBqfWHNpLv1yv2vjbh6eocF69848
2b31/t4ltuZJiDqIXiZMTTygZnhYjHyR1S3D8ZdmiRUpLL/RsELj6ps8SyfxLJtb51AjJvXUWyLW
8yN6J1LeH8xevZXfy93YGhJbcugNJYSUfKrPzTmeH91smA0n/rEyuoVzN8PZcZktKOqddGPramqT
HeA6MA9nl/5EJAmPycF/Wveij/53iXeyoVGPYSJ+1CucE//rX+DVBDM22t2450+fGvewjCAnK4Bi
xVsTfKHfBCSVH9HVhv5PVx+BvN+NezQFMNXRAKvpTxa9TzBb85MNZEel3Q/EA+GBf6RSu6OxjiwQ
xu6YMRoGdxMP8TwQWoqrRFFhpGeqTW8FHoCQi+97rLrpPqqdq1BqC2eR1i+TGL02fO697zGG8THG
zjYuUClG8ha4y8CQzgZpPZXpwYwjDDtPIuE+Dyrma48dve1k4MVLxEpsqZo2WNabxRpt2oqa6r2T
fRpYF52LlvOoGIJMpg9uyii7GfiSKhiUIm/a4HGNZ6m39tDqNsATJXLloX1LIy6gA6m4/QQRvemw
Tn0YOvig1iaOqBLWqB1coVHfI84O6pwKlrDXaRr5qhGWqnAyWuGxWjk6NbJ739XCuDWFE2smPFlz
4c5aNyggyfeOrUlw62DuOO2Fm2sNJRj9VG8JXGi9jITnqxx30zRBN1cWWhyGUOXAjwtFF6HUoSPZ
4QvtDkmoeIA+O8MecSxsZCmyYuht1l8KP6c9hQQITkhnmdAEwVT+RO8gZmhCLwTBkXqSCA2RVqiJ
OMJsMczr0wzFOVTd02hG53GeFcaRgRhJjCiJE0BOWbcwEQYK2pZQLumRMGmQMnGTYTUIbZNaqJzU
QXEdIXuyRoRM6C6coAKFxKzQRuFQOZaEWkoqdFNKoaCSCS2VSDWXAeIqoVBZ0Vr0VtTBneY6Ciyt
lN7mQpNFlUvEztupjlgLhGrkW/0zEIXHmlBzIbwe5w1zZi2EXnyzGsFtVsZyg++xLjAKiTsukYfJ
c+3UMrxwBlQZbRuhIRMqlEoRlSkC6TwUKjMDLsgjQyjP1Lb5WTXVU4dmx7ToSSt1oVOj3ivWCO2a
SKjYBKFsQbdYT0u3BCiM0k0TJKeuvv7R52jgRJI9d0tUcYxK/qojk4MKIX2GKEAyCAUdGykdt1VO
FKR1BiR2UF/7WQjNnVio76xLc+nmvjIaTOOkqssznxq2dJGmVjTc9V0ULqxYwEGyrwjf5GPg0Mcl
Kq+nCU2co6Byvqch/vJGAdm2Hxc5SgyDOwNKiaJPe+RU0qyQ1eM08lZ+mh51QblK0ui8SWh9U9nH
I3Jdt0tzbfwaTKkGRNlq+tyvqYOOoBEPl6o5nLo5oESFDuUMa8Zu1Gom99XnWVTMWwFlBJWwaME2
Fsb3UkAd49q5SgDZ0UM9LlQ8luLKWLagI91sOK8HpHAaPH56o74g2FGoryYwHmlB+uTVa7CWWlmd
QEVI8ZGrjlPQmJD/hQfr5QA/bWQKwKYnoJtqgeCrHuMD5LgK2EUB8dTIm+kpuYtcwD9VAQRNBSRU
qpk5SYb7cyIAozGnBmxxri09+ZWCKI0FtBSVj69DQjtIQZ+6E/BTQwBRZcGHhit+Q1d0fYIw96kv
ONO9LJ/HgkVdCz51C7FaEwxrGap1LTjXsdl91gQLW4OODexjhs7ndQ9NGxrgjBYL7V7B4LZ1uNwd
XmWJYHdjyYooRz9voH3LWXHuQAOXTeQeBQLRgCAeCKY4pkUL7L2cIwsSuV2vJ9yZLr2jf1EEz9wT
jPOBFtY0Eyz0XFJPO8FLtyCogyVd4CEE2Utw161IhcYJ1Rq5QRUfwgpAEEz3Kiz1sePnG0+w4CvB
hzchxgPy/+U6tz50+RLafCj48ypLUBWM+gpqPTa2M1lw7deCdZ8J/n0zwMRvm2DuCW6+L1j6PXR9
n8vZgr9vGCivQOj3AjUEew/HXxdsf14ovH96X0JzVIkzGBhCG6C2k4XTCbUAu3CXHYqSawmoPQYV
aMrSMbF+yOXgLwnHI1cID7h6N5O8/FJFkcAU0gSuZ9Z4egiOJLoFdPVx/qDDUQhJgybPSe3pVYIa
u6xRPUAPFolWLZ/X6CEYYbZqhUBChlKCW3Wf5T6d0jXvZ1BTjlM0FSSwbeBj+nrWorcQOnUHxMm6
iD0Lkl00aA8Z3n/yKePNfIptLSG5eg2CFH/2dy6lftIRC6aHDuvXQSj0WS6lfTKfqxI/8pXw+QQw
71j03bGjhn5N/v6USOEoalmybKNZTHv0H8r9w7J5cV6iCIwLo4OTmOrwfzzK1klBgkhj5mj+nycK
qL3TUq3ZdXvhawhyvW9VZ9R1TQNzx8pu2fB+DCn+XJ2UXOIxx9Zp3fQNivdZ7S4KEo488xPAX0Y0
qXVrJVeY+KFThidPBjxpnSLRZ7i9N1OBRY28zF1J0jocN41XjRHGOyv76qck1PwNp/2poxU49TCr
qx2cAFLbP+500Yt2glMJpcdCTo1J6mkDlhkmpnzoHNA3LH5KKdLoRV3cNH41A3eBVY1q30idMvPa
CgRM5y4sq1olbLqjEMTJyMjb7yjCX0VVH42DULnUjOratYlc0KRtZNo088z1WV4koajvGWExpSW0
sawhneO2gqAtVry+r56leg7KZ1DBkln5CJWoi06Vj2LZuNOreK4V7abU/WOEI7A0QMi5AyYOUozf
dhaxXFxDaV+mHWBrWOjXaWleO8GN1hJ4de22dJzbQi3PisH/ZqTdbajb8QTy2UCmaZ4j2c/GZbSL
2INZHFQSuCUJSyWypcvS11Z1Jq0GkrBxIGNR06v4Mhm5HS8Dup8jQxFy7rJ+LhktShHlGoUqCU0U
3AyOA89054FUm3RMo1Mvr+WpXXZXZikdqW1ewOyujuwUp0LZic8ygBGAmnJ7WWSJioWbUJUM0knh
g8/LEFyah5ZXTAIZRS6zWXdTo76HkPFTq1cXhdt+XdsW/KX63JRruChJO4YIkM8LqLUdKF6cU8Kl
ik0A9lOtO0IqH/ksuVji7Qw8UpXWc+S/1+M2bY5lS155vAp+s7gJcNE2G+O8deWlG1jd2FSDOWTl
q7jSF44COjQczKsK90M5dr8ic3IHEEYahwMioUZt6oRiBzHBerhOgjybuCqMayv7BnAPHeCyvZIc
TML5U0hzyNVMtSa87CVgAIgDkN4r6a+4BNnup9mp3jtnoQ4Is+o78D1pe1IjEzrtbBgTFhAb1kph
o+riqw+eVRXYwBCP6U21xjlaLqGrakWJ9W0YgLADn+FfATOImIG+NWWtAeJtkLGsrGqewAynSV1k
i05R12MtlY8hX5/qSOVP4sDXJtjxXqAPA3ItyZGzVOOVLwxLMQQyEflCXLlzB7Rw0k2I3pqYa5e6
diT1v0I5B3DrYkxulVOt74KJ52EvqacAIK1fsiKTeVv6r2KQvzulA6k5WmVQ8FVTsbCdkLyp2dMX
6eP8s1eXm0jHI8nvlxD2jvTaASPIqYndkszIZtcv7P6XWhY/XKk+btPqgibHaYUnHt4R1WQIu1PN
IUdW5CYcgddVRwH03lHteIgAVNWvTLh8Rl0rBJOsjZ8XP3BaQzY5BZChpkilQ6rEq7vGKRLbdJvj
Hwc+BTSW2Re02CPztlJsAIomiAoC8nEpFR2ZdV3PvKE5qtZaM1YL97PpdZvAN1xQzyFnobzE4cAl
ESl1ehox5AkPRF3ldZeVkWMshhhM1CELg9U7QqeJUbDoUpaEbULrxrcg7darVOgh6PWaWojkXq7X
YAYz59JZ6wut6+2xmThomPfR53WG6I2r5DO3sqProsX4ct1CEUK1VyA2WNhG8A1GbIUiRBvOCKs6
7GjvpkvwRa51HyeN5IiA/rnX02aRcwacsAFcZDrwM2j3kwYc6dyTcV9tSg2LDjP9gqHakbc29XGY
Ryel11z4BrRsFRT2GogQaIMCUVQ34m+b5tJAR2ExJPUNJ6965GTFeoTUvYe5Vy7hCyL9cnSF/cIr
/LntSBc4u9+YGms7jyybXFrIVHQuYA1s4lcynPtRkebXEFXX48rG5zTu0QLQVHDoOB4K7yl1bmSJ
DNhYrmZRld7ANf8Gi18fI5k7gxSPKS6vHBARWuWtBhaq6mDy4IPDmDa+ueTICqtTR0bJ41StpQY8
dr258vrwomVPHFdCFsI3SvQYLMMFL9sz3WwrnNQB/2ZHQspeGtpJqAenPf6hHF/Ru3Dlth1JoXll
VP1cGOUaqXEeuNldRw6LJHdwjfgOJ+lCYurVyQn+P/nKMoZT9n+gG1YCekxZVlFWjPVerachttbX
MFyiZYkmgKay8KNE+yb1+hmVoJ9tHs2cdXDFZi9jZYszNvv/svTdM8vPvzhDuNCkssVpuOmEViys
Xr1drA0NodwezHmjU5WFujNRLevW71IJ+HLqAk7Khlmf2p+VdZxPDQGvSUDWT7MMwDU0/vVSLvqN
SeWT99moszC04eDTo7LX0pHvuhssMSduKHnwcrJ5mqf8vZWdpyH8ndSRXbxFjNss6MCyVf53XfZB
I+XmuVybX1PkDNeZMJxztV+BjLG31qDkoqrA2+wObJdpIXxamfglyClW40mgoKvh9wAABuW7WTYr
aiT+FH4aiut4F0+8HqH8wELByZSCjYx7cgjgdVz564AjOv6/DaIGelXM+0EHa6kJfXM5XAQk2mO6
fex3FeeDXMXLLA0KDFgd+yfmKh0ugW4xo0AhI0rQNJNU7ik8DCKqmt9iBCpHrguDOc6lL17RXhUO
hYLEd8ZpG53UJVhqt7aRLyhTpMh077IysR5GN3VZuzXwcRmVmqQ+d6NWWItWqMdmUo1cLusJ1ses
c6VoQqVgKZE5CSK3PG7V8iZzYyFWw7KHOM4RArIeKJIh9+9aDnFSZv4yZemLhBDVxIqFGpgTItLI
eRChudumL44ddvJRbxm3ZWPNIW4Xk8RVsB7SMMMbGkR3zPCbG8flGMy8OrZrUE1SPHPXN7LtnpAY
4OKkYyyr1MFRZhSKgACjfeiny3Ve8DM7/O7CFR+hcv1FKSiPZbX02YqhAapxutSd9ltHzjUyvQF5
tCxNpnkFVpzjOif7MOfr6NAm7LbQp2mqH9soaNl2z2HdwheadfcL+x/89VrOwm6ozeSmvs4alq5X
KBcIOghZXu1UM/1qmhgBLvdhdmn6vCNQvPjbeh1xukhOO71IZoWJY51d3QYxnTcUqb/lHUL7QPKv
8K8/6vroi4qx96QtCamWfENPmMnfJtrIqax2kkb1SVYWs0QGcoNuNRLBsFSYtcGdQ27sNahnZF1y
N8TF0eCA48cVeamqybWPdgpslaus4fRbkuVZIaEPn/J67DmtRSXT5yFray53xS/TI6Wz0g4OPjlf
E6CCGQXXIMyWAMYmXphs1nZ4E1T1ma7nR7EPSNEFbrZG9G8EunUBl+Vz5ynTzgDwu87Ty65EhFN3
lg6S4rkcnAMhHCOw16NR4029tZBsak5gfC4xCh1HhtyoR2Wg9OPctdTwIkoG87pPfZMev2Q0/INR
Zc2kF8djI5Me4D//OYPqdGjfqOn7Jd5Iaf36ECr+7u9DKLJhOmh39CwxkoPy/eIQiu6/zFHBEZK7
oun4dA6Ft47+riGjqQEZ756k93gO1eVP7Ivi6EjOJFoE1j9h4in3Tf/fHSJxDkWA06LfDKkP2WFh
NvC8oA+/Ahx4YabnXSFbs0TsQjp5yGhgc/Is7C1QDCfpkVuZ7jcbmxzFpA6mb4XLSOyHfrwuT9Hz
pMyhafllQOK+gHhXrtpwnf3MKsGHEvuzF1k9soxKj2gWFF3UMRWpOy+LuDrLA0DTkmxCWIN3gHLt
WokmQ7JOVqGbOT9tiTypi4wzV1E4AOEyMB9sM74iFTG+Rw2ilK1q1KdV6VlL4LCoMFi1FM4Uo0+/
gs2G/6uV6h0kmejakKNk4RqlM0mydblpUICbejKOL1aBD4wVtMVx7TXZRSuSxZqDLDXEbNK0it6c
eVKiN7dpiR/AsUJm1EPpSMMafk9VS3e66wTeytOjOh/lGIoUZ5aXobLvKp136WHOQUiqiRFDRZWu
XZF1kQnKro4u0SyNWttKRlEDeWZiqG7kH5tSIvUjv8aDJGjUPJ6qrYN73br7braRtkHCxEhBEpvJ
jFqWcdTXZn9ZtemwEW0bQNqqLwOPxT3QdxWHTbxxb5hJ/lhOhmGzLr3hzvS7axKfWeL6R5KQ4IoV
sxm3BicXKWvZMm2l7uchpJVjQPP9SZh2GZVtJ0RINE6laOS3rg+6u8JDgfoEdnph/k23fLRDHeVK
C3NvkUk5ospy2+DiU4CqD0rz0gaKv6wkfIwzOTdXncMhB9l0R6aGaJDllnJ8VzaRcyNZrXSkRUhv
ZF18FtiKNCmqpps3EkKl0zbK82rSrf3slyWl2Ndm6+Szqdjl0pAH84eLKedkcIje3ToE5B2QF4J7
CL5DtsN5bbD6kzLEKn2oO+mYyYujoJW0Z2gHrK/tIW6vEpFe1GmHFoDfZeeeSEwSeC3RJOGsV+IJ
hEgzKvW4i5WdUU4QHcDqxU0Mc6E26h1WZiM90o6srtUukI+1MWpMTeUuE8lcLhjYTlaao6oFvXof
gv4/iMWPjyhan9P7zudFfVf0n+9KDjzlk+ih+Ol5yinxS/rv/dLbF3rsuX7pM3qum59o3078sir8
24qw9tCPXf78r389KIwolNxeRPf7B7t/6jevE23I5uuf3EEzP2lk49CoEUy///zrryhlxTz8WFKg
YQMPdODegsjgXs/G6E+j8PYXfBjOt3/nzYffHgR5/0FwaEs7Ks1lQ77/MNQvBkGIsABowpnmYTs9
wEHYrjX/85lgf9IQsaKkyXi+/PbyJ2aI6gDouh+dh1v9H4/B88VgMHf/jYXA1/y9DpDmNlDZoZT9
MAX4ki8GQawDxQLTT632cZ0c5GpQSMH2DglALTTYdI+rYXsoVBRmTexd7qETBzgIYJr/nekgFv3z
+YDako3Mjfbwuol+L+YDIQHBIxYMf3aAY2BQ2993IpCnGxaYHFCbfwyLmg3S01bBrx7kIMigxfZc
DfYnzjYGW4OYVnxYXy8mAoHB4mMwVIc6CNtnwH9nb5AV2+GMh5zsrkFgNeDDYlPaeAg//8ebw45U
Sd57OWh42xAYFdKlPywHZGnQihSn0AOdCaJFu+dy0LGwENjuP80ElgOZgiIjtHOggyCo6HsOgvMJ
jU5Np/Lwh+WAOwjZBNp8B5Er7VgO+IvsOQjsDjg96ej/PawGscBeBEbSBADdOCSbB3ty2H8QlE+W
oZMdi+goPq/SBNYLWzFpwqHmCfLD23ngLP19uP1HZ0gcAgCnIPbwMAYi+9qeCewbKO8KNUo+h7oo
HkPWPkNh4u6tmAbM6cex2BoKkS3YCHLaghJykCmTsAraMzyqOEbQxbyXX3gxEZBZxmXCvrd/ux+f
Qx2D/ZMFQOvY4LFL/KGuIrw4ZFU2lYNNFuT9D1Hsk0JoFn2WrWUg8kUHjgCnzAOdAq/Ae/84aWaD
tKitsRDMh1jwam9QsUQUOryCDH6QsUCIEu4XC8QgoJSk66+nAGrssDmQKX7cOg91DPaPhyhZ6hq+
blTQ7j/M+RdhkdXgKIaCiNGhHhyUhxm6z87IpsCGIAx/HgZhO11UjE8whtg5qUGKz8GuiYeItc9Q
sDfISJfiNfCHJEGcNB0TuO+hnqH0jxgEx0K7FafDh0HYrquwKKhFA1N2DnZR7J8lGJ9gRItz5MOc
F5P+RWQgXRSFF0hvh3qGejzX7LMcrE+ajIsmzph/mAmcNAFPQo7RDzsy7H+S0j/Ba0FR+Kkbt70o
8FeGPkmfht3kkIPkKyrpP86eNGYF35Mt80+zQvlEfFQQWjrUk5Rglu6XPTEIBEkySIz87j/b84Eg
KQSiIXwc6k7xGLj2iQ9UFIHaUXN87EdtZw4cpWA6MBEOdqcQ+jZ7zwQabpwm7Mdy246dAtUxC9MP
+WGqHGg6/VgR3W8+KCJxguJ0HwNfbZqqRs0NaDrirAc6CI8ha49BgOZFoYnZ8NSffFVzUz+ZtK3A
3z1kKYfXkRESIPstCgYBx1IEP59yyFdlBjqYIBaRVT3UQRB6XPsNgsY5moYMNbXH0+V2eKToplJn
QBruQFeDuv8YkBbRgP07g3xVhhddKQ4TGEkc7CDsX2YwccUwLUuDonb/2Z4I7JP4QdHQP1jMgrb/
sdIGs0DDHq+sh23wVdFNxAzxP45d4nOoZQahZLhnYLDRTbFE2+UR0rRjPlCCoB6jPgzVwS6NhwLA
HrslrXtV2KnQj71/6a97laB5aFWiPvMwAw9vt3xsE+w5CAazQUSI+892CikqLsIbE5e5Q90pHk45
+wyCRhmSQYDJ8DDpt09UwgnUAOkI6f5AB0FY4O0ZGSw68zLNF/SW7j9M+hdlJ3GiEjpNuBwc6CAI
veg9BwE1BJQS6Fo/tmpf7RTQVIidsFoOtcAgfCL3HIR72S2LMstjm/LVIBAYVaossGkPdSY8PNh+
McGxZQM1hofV8OpASUxA7VgGAn+oW6S2/xaJZei9JghZ8sNnOyYgRYLBp2E/zroD3CL3Xw4OMEYV
7yDYafef7d1BpNB09RGvO9QtUnuoeeyzHCg6UnLUVV73/WdH3oh5KWPgPBTkDjUyCDfBPcOjLua8
KK/+Gc4DQ1vT6eE/LRrueHhLQxAz9xwKgwwZqQ22xIdZwVt/mTMA9yOAgnk81CBp7B8kiQ+AHkG0
/AkCDPCTLr5QsjzQ7RLby31nAqgeU9bAbTycoF8fpuRP/JBlw1FCfA42PuwfKu1PuE+ZHC3/VHK5
h8KZOrX7A50PQk93v8gAxAfMhknj8g9BknMlYGmAbrjOHfJ8ELYO+w2F6Nfh1qqzN95/01eZJJho
Fo6CuvehxodHQN4++QOUUk0W7/oPg3BPERC928cBP7ztUnj27DkToA1h/iNKStv7JJ0bbI3xnPoH
cfF/MUR/E5THHna799Rk/67cxWD+0y88cXJf//wZ8fiea/niNwVV+eHmD8xc8d///ZK5fJ8RPfvp
U4Z0f6fHv3/8iq9v/uJmT9/r6R8X/l2xKW69/v4H/eODPihW/0+EcPXPzXOmqKBNi8LP07/tpln/
/erfvjqChHdPF/rNyRaUs99f9TWH+3938XjzMy2eLvTs4syZvS8+qqtq14NTBdr72uNNtGl4JeXT
tZ49OyFv/+sjdlO+eqXkGeyvH3DxpCrQOE/LatctWMl732JyF/21Soud4096uvf1p9Ffk7Rg8jxd
69n4k+7sff1ZcVcmuy7OAWPvi8+juyR5us6zB/+I5bqo45s0+lm9vrwAOe/96Ms4uyv8TfR0qd9P
L6Cz+18e/bqnyzy79Ees2OO7YseYi4b53k997CfujkAgVCv2vvbJJtwRwwSr5gMuXZZ3u8bkIxbo
SVr+9T+Jexfd7RqZj1iip5ufBOCncXg2Wz5iiZ5ukC3ece2PWKLi2lm6K7oL/NTer/X0LvmZ3vq7
opcAJX3A9Yvbu59PF/o97gIhu//FU5796TrPrv0Ry/Q03TkmH7FKuXR1V9z1O578I1bqapPtmOiC
arL3gK/ums3r3NGQBZ5x74uf4W7r7ghfwq9474ufR5vbux25o6jLfcDF63hXcif6cXtf/LNP6lj6
P3eMjLAF2vv6l5vbgiNBUu3YSwX05ANukPw1ukPWfdcNPmKpYsLDDYpkU/zcGcgEnOxDvsXEv3N3
fYmPWLXiS8xYAbd+ebvrHh+xfMU9jtJNXu/arUSP5ENG6aT2y7/Obvwy2/U9PmIxi+9xuqnudl3/
I9Yz18fVabQpbnb7On3Esn64x1vOUfdia3ucxR/vUNTD04v9vUUKqtL+L9vb7DwTCpGd/S9ODWNX
wiZK9R9w8TclPvce+TTa7MoeBIRo/2cnMYl3bPDCVnL/i1ebxC+jTV0+XezZnPmQpSvKLDv2Yf0j
1u2XO2+za2hEOX/voXnbmmTfKfOlxkNuxxYvKs/7P3pNgSjeVZcTxea9L/+VK9S71qpQ1tn76t+x
jnu6zO/JKIrR+1+6vtmxkERH9J1L7yrL/t3hfl2sfVJ33PVnL2vR4jduo7tN8d//DwAA//8=</cx:binary>
              </cx:geoCache>
            </cx:geography>
          </cx:layoutPr>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274781</xdr:colOff>
      <xdr:row>1</xdr:row>
      <xdr:rowOff>177800</xdr:rowOff>
    </xdr:from>
    <xdr:to>
      <xdr:col>27</xdr:col>
      <xdr:colOff>6513</xdr:colOff>
      <xdr:row>47</xdr:row>
      <xdr:rowOff>117557</xdr:rowOff>
    </xdr:to>
    <xdr:sp macro="" textlink="">
      <xdr:nvSpPr>
        <xdr:cNvPr id="5" name="Rectangle 4">
          <a:extLst>
            <a:ext uri="{FF2B5EF4-FFF2-40B4-BE49-F238E27FC236}">
              <a16:creationId xmlns:a16="http://schemas.microsoft.com/office/drawing/2014/main" id="{09A6DABE-F6F3-4D7C-99EC-5553FF168CBE}"/>
            </a:ext>
          </a:extLst>
        </xdr:cNvPr>
        <xdr:cNvSpPr/>
      </xdr:nvSpPr>
      <xdr:spPr>
        <a:xfrm>
          <a:off x="2281381" y="368300"/>
          <a:ext cx="14362132" cy="8702757"/>
        </a:xfrm>
        <a:prstGeom prst="rect">
          <a:avLst/>
        </a:prstGeom>
        <a:solidFill>
          <a:schemeClr val="tx2">
            <a:lumMod val="20000"/>
            <a:lumOff val="8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110671</xdr:colOff>
      <xdr:row>1</xdr:row>
      <xdr:rowOff>177800</xdr:rowOff>
    </xdr:from>
    <xdr:to>
      <xdr:col>3</xdr:col>
      <xdr:colOff>355600</xdr:colOff>
      <xdr:row>47</xdr:row>
      <xdr:rowOff>117557</xdr:rowOff>
    </xdr:to>
    <xdr:sp macro="" textlink="">
      <xdr:nvSpPr>
        <xdr:cNvPr id="4" name="Rectangle 3">
          <a:extLst>
            <a:ext uri="{FF2B5EF4-FFF2-40B4-BE49-F238E27FC236}">
              <a16:creationId xmlns:a16="http://schemas.microsoft.com/office/drawing/2014/main" id="{0289EC05-66F4-CBDB-570C-3D2AD7A21EEB}"/>
            </a:ext>
          </a:extLst>
        </xdr:cNvPr>
        <xdr:cNvSpPr/>
      </xdr:nvSpPr>
      <xdr:spPr>
        <a:xfrm>
          <a:off x="364671" y="368300"/>
          <a:ext cx="1997529" cy="8702757"/>
        </a:xfrm>
        <a:prstGeom prst="rect">
          <a:avLst/>
        </a:prstGeom>
        <a:solidFill>
          <a:schemeClr val="accent1">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228183</xdr:colOff>
      <xdr:row>7</xdr:row>
      <xdr:rowOff>39820</xdr:rowOff>
    </xdr:from>
    <xdr:to>
      <xdr:col>3</xdr:col>
      <xdr:colOff>44940</xdr:colOff>
      <xdr:row>10</xdr:row>
      <xdr:rowOff>39821</xdr:rowOff>
    </xdr:to>
    <xdr:sp macro="" textlink="'pivot tables'!G4">
      <xdr:nvSpPr>
        <xdr:cNvPr id="6" name="TextBox 5">
          <a:extLst>
            <a:ext uri="{FF2B5EF4-FFF2-40B4-BE49-F238E27FC236}">
              <a16:creationId xmlns:a16="http://schemas.microsoft.com/office/drawing/2014/main" id="{7102FADE-1988-0F6E-4C2F-58B21DE41B2F}"/>
            </a:ext>
          </a:extLst>
        </xdr:cNvPr>
        <xdr:cNvSpPr txBox="1"/>
      </xdr:nvSpPr>
      <xdr:spPr>
        <a:xfrm>
          <a:off x="482183" y="1373320"/>
          <a:ext cx="1569357"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B43EEE-E85D-455D-998E-8A9D601B2759}" type="TxLink">
            <a:rPr lang="en-US" sz="1800" b="1" i="0" u="none" strike="noStrike">
              <a:gradFill>
                <a:gsLst>
                  <a:gs pos="100000">
                    <a:schemeClr val="bg1"/>
                  </a:gs>
                  <a:gs pos="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rPr>
            <a:pPr/>
            <a:t>2,400</a:t>
          </a:fld>
          <a:endParaRPr lang="en-US" sz="1800" b="1" i="0" u="none" strike="noStrike">
            <a:gradFill>
              <a:gsLst>
                <a:gs pos="100000">
                  <a:schemeClr val="bg1"/>
                </a:gs>
                <a:gs pos="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endParaRPr>
        </a:p>
      </xdr:txBody>
    </xdr:sp>
    <xdr:clientData/>
  </xdr:twoCellAnchor>
  <xdr:twoCellAnchor>
    <xdr:from>
      <xdr:col>1</xdr:col>
      <xdr:colOff>228183</xdr:colOff>
      <xdr:row>10</xdr:row>
      <xdr:rowOff>155330</xdr:rowOff>
    </xdr:from>
    <xdr:to>
      <xdr:col>3</xdr:col>
      <xdr:colOff>44940</xdr:colOff>
      <xdr:row>13</xdr:row>
      <xdr:rowOff>155330</xdr:rowOff>
    </xdr:to>
    <xdr:sp macro="" textlink="'pivot tables'!H4">
      <xdr:nvSpPr>
        <xdr:cNvPr id="10" name="TextBox 9">
          <a:extLst>
            <a:ext uri="{FF2B5EF4-FFF2-40B4-BE49-F238E27FC236}">
              <a16:creationId xmlns:a16="http://schemas.microsoft.com/office/drawing/2014/main" id="{A670501E-8F88-4E8C-93AD-ED38927D9292}"/>
            </a:ext>
          </a:extLst>
        </xdr:cNvPr>
        <xdr:cNvSpPr txBox="1"/>
      </xdr:nvSpPr>
      <xdr:spPr>
        <a:xfrm>
          <a:off x="482183" y="2060330"/>
          <a:ext cx="15693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70FB7D-B3C4-46ED-9A08-2A0F92560109}" type="TxLink">
            <a:rPr lang="en-US" sz="1800" b="1" i="0" u="none" strike="noStrike">
              <a:gradFill>
                <a:gsLst>
                  <a:gs pos="100000">
                    <a:schemeClr val="bg1"/>
                  </a:gs>
                  <a:gs pos="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rPr>
            <a:pPr marL="0" indent="0"/>
            <a:t>11,997</a:t>
          </a:fld>
          <a:endParaRPr lang="en-US" sz="1800" b="1" i="0" u="none" strike="noStrike">
            <a:gradFill>
              <a:gsLst>
                <a:gs pos="100000">
                  <a:schemeClr val="bg1"/>
                </a:gs>
                <a:gs pos="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endParaRPr>
        </a:p>
      </xdr:txBody>
    </xdr:sp>
    <xdr:clientData/>
  </xdr:twoCellAnchor>
  <xdr:twoCellAnchor>
    <xdr:from>
      <xdr:col>1</xdr:col>
      <xdr:colOff>228183</xdr:colOff>
      <xdr:row>14</xdr:row>
      <xdr:rowOff>89410</xdr:rowOff>
    </xdr:from>
    <xdr:to>
      <xdr:col>3</xdr:col>
      <xdr:colOff>44940</xdr:colOff>
      <xdr:row>17</xdr:row>
      <xdr:rowOff>89411</xdr:rowOff>
    </xdr:to>
    <xdr:sp macro="" textlink="'pivot tables'!I4">
      <xdr:nvSpPr>
        <xdr:cNvPr id="11" name="TextBox 10">
          <a:extLst>
            <a:ext uri="{FF2B5EF4-FFF2-40B4-BE49-F238E27FC236}">
              <a16:creationId xmlns:a16="http://schemas.microsoft.com/office/drawing/2014/main" id="{929B207F-74CF-43CB-9CDF-E334E4646977}"/>
            </a:ext>
          </a:extLst>
        </xdr:cNvPr>
        <xdr:cNvSpPr txBox="1"/>
      </xdr:nvSpPr>
      <xdr:spPr>
        <a:xfrm>
          <a:off x="482183" y="2756410"/>
          <a:ext cx="1569357"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B3E123-9831-418F-BB0D-886AB0EC0ADA}" type="TxLink">
            <a:rPr lang="en-US" sz="1800" b="1" i="0" u="none" strike="noStrike">
              <a:solidFill>
                <a:schemeClr val="accent4">
                  <a:lumMod val="60000"/>
                  <a:lumOff val="40000"/>
                </a:schemeClr>
              </a:soli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rPr>
            <a:pPr marL="0" indent="0"/>
            <a:t>$649.0k</a:t>
          </a:fld>
          <a:endParaRPr lang="en-US" sz="1800" b="1" i="0" u="none" strike="noStrike">
            <a:solidFill>
              <a:schemeClr val="accent4">
                <a:lumMod val="60000"/>
                <a:lumOff val="40000"/>
              </a:schemeClr>
            </a:soli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endParaRPr>
        </a:p>
      </xdr:txBody>
    </xdr:sp>
    <xdr:clientData/>
  </xdr:twoCellAnchor>
  <xdr:twoCellAnchor>
    <xdr:from>
      <xdr:col>1</xdr:col>
      <xdr:colOff>228183</xdr:colOff>
      <xdr:row>18</xdr:row>
      <xdr:rowOff>28933</xdr:rowOff>
    </xdr:from>
    <xdr:to>
      <xdr:col>3</xdr:col>
      <xdr:colOff>44940</xdr:colOff>
      <xdr:row>21</xdr:row>
      <xdr:rowOff>28934</xdr:rowOff>
    </xdr:to>
    <xdr:sp macro="" textlink="'pivot tables'!J4">
      <xdr:nvSpPr>
        <xdr:cNvPr id="12" name="TextBox 11">
          <a:extLst>
            <a:ext uri="{FF2B5EF4-FFF2-40B4-BE49-F238E27FC236}">
              <a16:creationId xmlns:a16="http://schemas.microsoft.com/office/drawing/2014/main" id="{DB699C8C-1139-4E56-AF5F-AF7115DB314E}"/>
            </a:ext>
          </a:extLst>
        </xdr:cNvPr>
        <xdr:cNvSpPr txBox="1"/>
      </xdr:nvSpPr>
      <xdr:spPr>
        <a:xfrm>
          <a:off x="482183" y="3457933"/>
          <a:ext cx="1569357"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AB8F6C-E32A-4F57-AF43-D999B963B660}" type="TxLink">
            <a:rPr lang="en-US" sz="1800" b="1" i="0" u="none" strike="noStrike">
              <a:gradFill>
                <a:gsLst>
                  <a:gs pos="100000">
                    <a:schemeClr val="bg1"/>
                  </a:gs>
                  <a:gs pos="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rPr>
            <a:pPr marL="0" indent="0"/>
            <a:t>4.0</a:t>
          </a:fld>
          <a:endParaRPr lang="en-US" sz="1800" b="1" i="0" u="none" strike="noStrike">
            <a:gradFill>
              <a:gsLst>
                <a:gs pos="100000">
                  <a:schemeClr val="bg1"/>
                </a:gs>
                <a:gs pos="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endParaRPr>
        </a:p>
      </xdr:txBody>
    </xdr:sp>
    <xdr:clientData/>
  </xdr:twoCellAnchor>
  <xdr:twoCellAnchor>
    <xdr:from>
      <xdr:col>1</xdr:col>
      <xdr:colOff>228183</xdr:colOff>
      <xdr:row>21</xdr:row>
      <xdr:rowOff>178915</xdr:rowOff>
    </xdr:from>
    <xdr:to>
      <xdr:col>3</xdr:col>
      <xdr:colOff>44940</xdr:colOff>
      <xdr:row>24</xdr:row>
      <xdr:rowOff>178915</xdr:rowOff>
    </xdr:to>
    <xdr:sp macro="" textlink="'pivot tables'!K4">
      <xdr:nvSpPr>
        <xdr:cNvPr id="13" name="TextBox 12">
          <a:extLst>
            <a:ext uri="{FF2B5EF4-FFF2-40B4-BE49-F238E27FC236}">
              <a16:creationId xmlns:a16="http://schemas.microsoft.com/office/drawing/2014/main" id="{D2FC722E-944A-4877-AE76-6EBAAAFBFB4B}"/>
            </a:ext>
          </a:extLst>
        </xdr:cNvPr>
        <xdr:cNvSpPr txBox="1"/>
      </xdr:nvSpPr>
      <xdr:spPr>
        <a:xfrm>
          <a:off x="482183" y="4179415"/>
          <a:ext cx="15693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EE8ADB-D3B3-4358-A7BB-C7334194A36C}" type="TxLink">
            <a:rPr lang="en-US" sz="1800" b="1" i="0" u="none" strike="noStrike">
              <a:gradFill>
                <a:gsLst>
                  <a:gs pos="100000">
                    <a:schemeClr val="bg1"/>
                  </a:gs>
                  <a:gs pos="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rPr>
            <a:pPr marL="0" indent="0"/>
            <a:t>2.3</a:t>
          </a:fld>
          <a:endParaRPr lang="en-US" sz="1800" b="1" i="0" u="none" strike="noStrike">
            <a:gradFill>
              <a:gsLst>
                <a:gs pos="100000">
                  <a:schemeClr val="bg1"/>
                </a:gs>
                <a:gs pos="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Display" panose="020B0004020202020204" pitchFamily="34" charset="0"/>
            <a:ea typeface="Calibri"/>
            <a:cs typeface="Times New Roman" panose="02020603050405020304" pitchFamily="18" charset="0"/>
          </a:endParaRPr>
        </a:p>
      </xdr:txBody>
    </xdr:sp>
    <xdr:clientData/>
  </xdr:twoCellAnchor>
  <xdr:twoCellAnchor>
    <xdr:from>
      <xdr:col>1</xdr:col>
      <xdr:colOff>228183</xdr:colOff>
      <xdr:row>5</xdr:row>
      <xdr:rowOff>168030</xdr:rowOff>
    </xdr:from>
    <xdr:to>
      <xdr:col>1</xdr:col>
      <xdr:colOff>1425612</xdr:colOff>
      <xdr:row>7</xdr:row>
      <xdr:rowOff>163147</xdr:rowOff>
    </xdr:to>
    <xdr:sp macro="" textlink="">
      <xdr:nvSpPr>
        <xdr:cNvPr id="14" name="TextBox 13">
          <a:extLst>
            <a:ext uri="{FF2B5EF4-FFF2-40B4-BE49-F238E27FC236}">
              <a16:creationId xmlns:a16="http://schemas.microsoft.com/office/drawing/2014/main" id="{F8F6A439-35B4-01DA-D1E5-75197CD0BC96}"/>
            </a:ext>
          </a:extLst>
        </xdr:cNvPr>
        <xdr:cNvSpPr txBox="1"/>
      </xdr:nvSpPr>
      <xdr:spPr>
        <a:xfrm>
          <a:off x="482183" y="1120530"/>
          <a:ext cx="1197429" cy="37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0" i="0" u="none" strike="noStrike">
              <a:solidFill>
                <a:schemeClr val="dk1"/>
              </a:solidFill>
              <a:effectLst/>
              <a:latin typeface="+mn-lt"/>
              <a:ea typeface="+mn-ea"/>
              <a:cs typeface="+mn-cs"/>
            </a:rPr>
            <a:t>🛒</a:t>
          </a:r>
          <a:r>
            <a:rPr lang="en-ID" sz="1400">
              <a:effectLst/>
            </a:rPr>
            <a:t> </a:t>
          </a:r>
          <a:r>
            <a:rPr lang="en-ID" sz="1400" b="0">
              <a:solidFill>
                <a:schemeClr val="bg1"/>
              </a:solidFill>
              <a:latin typeface="Aptos Display" panose="020B0004020202020204" pitchFamily="34" charset="0"/>
            </a:rPr>
            <a:t>Orders </a:t>
          </a:r>
        </a:p>
      </xdr:txBody>
    </xdr:sp>
    <xdr:clientData/>
  </xdr:twoCellAnchor>
  <xdr:twoCellAnchor>
    <xdr:from>
      <xdr:col>1</xdr:col>
      <xdr:colOff>228183</xdr:colOff>
      <xdr:row>9</xdr:row>
      <xdr:rowOff>147468</xdr:rowOff>
    </xdr:from>
    <xdr:to>
      <xdr:col>1</xdr:col>
      <xdr:colOff>1425612</xdr:colOff>
      <xdr:row>11</xdr:row>
      <xdr:rowOff>47683</xdr:rowOff>
    </xdr:to>
    <xdr:sp macro="" textlink="">
      <xdr:nvSpPr>
        <xdr:cNvPr id="15" name="TextBox 14">
          <a:extLst>
            <a:ext uri="{FF2B5EF4-FFF2-40B4-BE49-F238E27FC236}">
              <a16:creationId xmlns:a16="http://schemas.microsoft.com/office/drawing/2014/main" id="{2E8603EB-B7F1-405C-A7E1-F53B9E1C933C}"/>
            </a:ext>
          </a:extLst>
        </xdr:cNvPr>
        <xdr:cNvSpPr txBox="1"/>
      </xdr:nvSpPr>
      <xdr:spPr>
        <a:xfrm>
          <a:off x="482183" y="1861968"/>
          <a:ext cx="1197429" cy="281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0" i="0" u="none" strike="noStrike">
              <a:solidFill>
                <a:schemeClr val="dk1"/>
              </a:solidFill>
              <a:effectLst/>
              <a:latin typeface="+mn-lt"/>
              <a:ea typeface="+mn-ea"/>
              <a:cs typeface="+mn-cs"/>
            </a:rPr>
            <a:t>👕</a:t>
          </a:r>
          <a:r>
            <a:rPr lang="en-ID" sz="1400">
              <a:effectLst/>
            </a:rPr>
            <a:t> </a:t>
          </a:r>
          <a:r>
            <a:rPr lang="en-ID" sz="1400" b="0">
              <a:solidFill>
                <a:schemeClr val="bg1"/>
              </a:solidFill>
              <a:latin typeface="Aptos Display" panose="020B0004020202020204" pitchFamily="34" charset="0"/>
            </a:rPr>
            <a:t>Quantity</a:t>
          </a:r>
        </a:p>
      </xdr:txBody>
    </xdr:sp>
    <xdr:clientData/>
  </xdr:twoCellAnchor>
  <xdr:twoCellAnchor>
    <xdr:from>
      <xdr:col>1</xdr:col>
      <xdr:colOff>228183</xdr:colOff>
      <xdr:row>13</xdr:row>
      <xdr:rowOff>81549</xdr:rowOff>
    </xdr:from>
    <xdr:to>
      <xdr:col>1</xdr:col>
      <xdr:colOff>1425612</xdr:colOff>
      <xdr:row>14</xdr:row>
      <xdr:rowOff>167378</xdr:rowOff>
    </xdr:to>
    <xdr:sp macro="" textlink="">
      <xdr:nvSpPr>
        <xdr:cNvPr id="16" name="TextBox 15">
          <a:extLst>
            <a:ext uri="{FF2B5EF4-FFF2-40B4-BE49-F238E27FC236}">
              <a16:creationId xmlns:a16="http://schemas.microsoft.com/office/drawing/2014/main" id="{758BD1F7-A526-41A0-A8F1-7ADFFFE74ABC}"/>
            </a:ext>
          </a:extLst>
        </xdr:cNvPr>
        <xdr:cNvSpPr txBox="1"/>
      </xdr:nvSpPr>
      <xdr:spPr>
        <a:xfrm>
          <a:off x="482183" y="2558049"/>
          <a:ext cx="1197429" cy="276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0" i="0" u="none" strike="noStrike">
              <a:solidFill>
                <a:schemeClr val="dk1"/>
              </a:solidFill>
              <a:effectLst/>
              <a:latin typeface="+mn-lt"/>
              <a:ea typeface="+mn-ea"/>
              <a:cs typeface="+mn-cs"/>
            </a:rPr>
            <a:t>💰</a:t>
          </a:r>
          <a:r>
            <a:rPr lang="en-ID" sz="1400">
              <a:effectLst/>
            </a:rPr>
            <a:t> </a:t>
          </a:r>
          <a:r>
            <a:rPr lang="en-ID" sz="1400" b="0">
              <a:solidFill>
                <a:schemeClr val="bg1"/>
              </a:solidFill>
              <a:latin typeface="Aptos Display" panose="020B0004020202020204" pitchFamily="34" charset="0"/>
            </a:rPr>
            <a:t>Amount </a:t>
          </a:r>
        </a:p>
      </xdr:txBody>
    </xdr:sp>
    <xdr:clientData/>
  </xdr:twoCellAnchor>
  <xdr:twoCellAnchor>
    <xdr:from>
      <xdr:col>1</xdr:col>
      <xdr:colOff>228183</xdr:colOff>
      <xdr:row>17</xdr:row>
      <xdr:rowOff>15630</xdr:rowOff>
    </xdr:from>
    <xdr:to>
      <xdr:col>2</xdr:col>
      <xdr:colOff>5026</xdr:colOff>
      <xdr:row>18</xdr:row>
      <xdr:rowOff>102714</xdr:rowOff>
    </xdr:to>
    <xdr:sp macro="" textlink="">
      <xdr:nvSpPr>
        <xdr:cNvPr id="17" name="TextBox 16">
          <a:extLst>
            <a:ext uri="{FF2B5EF4-FFF2-40B4-BE49-F238E27FC236}">
              <a16:creationId xmlns:a16="http://schemas.microsoft.com/office/drawing/2014/main" id="{66E9E1F5-B4D3-46C2-831C-7CA4AE297E62}"/>
            </a:ext>
          </a:extLst>
        </xdr:cNvPr>
        <xdr:cNvSpPr txBox="1"/>
      </xdr:nvSpPr>
      <xdr:spPr>
        <a:xfrm>
          <a:off x="482183" y="3254130"/>
          <a:ext cx="1275443" cy="277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0" i="0" u="none" strike="noStrike">
              <a:solidFill>
                <a:schemeClr val="dk1"/>
              </a:solidFill>
              <a:effectLst/>
              <a:latin typeface="+mn-lt"/>
              <a:ea typeface="+mn-ea"/>
              <a:cs typeface="+mn-cs"/>
            </a:rPr>
            <a:t>⭐</a:t>
          </a:r>
          <a:r>
            <a:rPr lang="en-ID" sz="1400">
              <a:effectLst/>
            </a:rPr>
            <a:t> </a:t>
          </a:r>
          <a:r>
            <a:rPr lang="en-ID" sz="1400" b="0">
              <a:solidFill>
                <a:schemeClr val="bg1"/>
              </a:solidFill>
              <a:latin typeface="Aptos Display" panose="020B0004020202020204" pitchFamily="34" charset="0"/>
            </a:rPr>
            <a:t>Avg. Rating </a:t>
          </a:r>
        </a:p>
      </xdr:txBody>
    </xdr:sp>
    <xdr:clientData/>
  </xdr:twoCellAnchor>
  <xdr:twoCellAnchor>
    <xdr:from>
      <xdr:col>1</xdr:col>
      <xdr:colOff>228183</xdr:colOff>
      <xdr:row>20</xdr:row>
      <xdr:rowOff>136581</xdr:rowOff>
    </xdr:from>
    <xdr:to>
      <xdr:col>3</xdr:col>
      <xdr:colOff>24982</xdr:colOff>
      <xdr:row>22</xdr:row>
      <xdr:rowOff>62197</xdr:rowOff>
    </xdr:to>
    <xdr:sp macro="" textlink="">
      <xdr:nvSpPr>
        <xdr:cNvPr id="18" name="TextBox 17">
          <a:extLst>
            <a:ext uri="{FF2B5EF4-FFF2-40B4-BE49-F238E27FC236}">
              <a16:creationId xmlns:a16="http://schemas.microsoft.com/office/drawing/2014/main" id="{BC380B2D-DF32-44C0-AAE8-B83BD585D410}"/>
            </a:ext>
          </a:extLst>
        </xdr:cNvPr>
        <xdr:cNvSpPr txBox="1"/>
      </xdr:nvSpPr>
      <xdr:spPr>
        <a:xfrm>
          <a:off x="482183" y="3946581"/>
          <a:ext cx="1549399" cy="306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0" i="0" u="none" strike="noStrike">
              <a:solidFill>
                <a:schemeClr val="dk1"/>
              </a:solidFill>
              <a:effectLst/>
              <a:latin typeface="+mn-lt"/>
              <a:ea typeface="+mn-ea"/>
              <a:cs typeface="+mn-cs"/>
            </a:rPr>
            <a:t>📅</a:t>
          </a:r>
          <a:r>
            <a:rPr lang="en-ID" sz="1400">
              <a:effectLst/>
            </a:rPr>
            <a:t> </a:t>
          </a:r>
          <a:r>
            <a:rPr lang="en-ID" sz="1400" b="0">
              <a:solidFill>
                <a:schemeClr val="bg1"/>
              </a:solidFill>
              <a:latin typeface="Aptos Display" panose="020B0004020202020204" pitchFamily="34" charset="0"/>
            </a:rPr>
            <a:t>Days to Deliver </a:t>
          </a:r>
        </a:p>
      </xdr:txBody>
    </xdr:sp>
    <xdr:clientData/>
  </xdr:twoCellAnchor>
  <xdr:twoCellAnchor>
    <xdr:from>
      <xdr:col>4</xdr:col>
      <xdr:colOff>89430</xdr:colOff>
      <xdr:row>4</xdr:row>
      <xdr:rowOff>80810</xdr:rowOff>
    </xdr:from>
    <xdr:to>
      <xdr:col>11</xdr:col>
      <xdr:colOff>142230</xdr:colOff>
      <xdr:row>17</xdr:row>
      <xdr:rowOff>124310</xdr:rowOff>
    </xdr:to>
    <xdr:graphicFrame macro="">
      <xdr:nvGraphicFramePr>
        <xdr:cNvPr id="19" name="Chart 18">
          <a:extLst>
            <a:ext uri="{FF2B5EF4-FFF2-40B4-BE49-F238E27FC236}">
              <a16:creationId xmlns:a16="http://schemas.microsoft.com/office/drawing/2014/main" id="{1C291CDA-00AF-468A-BFFF-BB64CB6F9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444765</xdr:colOff>
      <xdr:row>4</xdr:row>
      <xdr:rowOff>90942</xdr:rowOff>
    </xdr:from>
    <xdr:to>
      <xdr:col>18</xdr:col>
      <xdr:colOff>497565</xdr:colOff>
      <xdr:row>17</xdr:row>
      <xdr:rowOff>134442</xdr:rowOff>
    </xdr:to>
    <xdr:sp macro="" textlink="">
      <xdr:nvSpPr>
        <xdr:cNvPr id="22" name="Rectangle 21">
          <a:extLst>
            <a:ext uri="{FF2B5EF4-FFF2-40B4-BE49-F238E27FC236}">
              <a16:creationId xmlns:a16="http://schemas.microsoft.com/office/drawing/2014/main" id="{716EDE0F-3BB5-2813-C104-FA70214AB69B}"/>
            </a:ext>
          </a:extLst>
        </xdr:cNvPr>
        <xdr:cNvSpPr/>
      </xdr:nvSpPr>
      <xdr:spPr>
        <a:xfrm>
          <a:off x="7328165" y="852942"/>
          <a:ext cx="4320000" cy="252000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a:t>H</a:t>
          </a:r>
        </a:p>
      </xdr:txBody>
    </xdr:sp>
    <xdr:clientData/>
  </xdr:twoCellAnchor>
  <mc:AlternateContent xmlns:mc="http://schemas.openxmlformats.org/markup-compatibility/2006">
    <mc:Choice xmlns:a14="http://schemas.microsoft.com/office/drawing/2010/main" Requires="a14">
      <xdr:twoCellAnchor editAs="oneCell">
        <xdr:from>
          <xdr:col>13</xdr:col>
          <xdr:colOff>12700</xdr:colOff>
          <xdr:row>7</xdr:row>
          <xdr:rowOff>76199</xdr:rowOff>
        </xdr:from>
        <xdr:to>
          <xdr:col>17</xdr:col>
          <xdr:colOff>338993</xdr:colOff>
          <xdr:row>16</xdr:row>
          <xdr:rowOff>3052</xdr:rowOff>
        </xdr:to>
        <xdr:pic>
          <xdr:nvPicPr>
            <xdr:cNvPr id="21" name="Picture 20">
              <a:extLst>
                <a:ext uri="{FF2B5EF4-FFF2-40B4-BE49-F238E27FC236}">
                  <a16:creationId xmlns:a16="http://schemas.microsoft.com/office/drawing/2014/main" id="{53EC562C-2C44-0B34-F496-1331BF49EA27}"/>
                </a:ext>
              </a:extLst>
            </xdr:cNvPr>
            <xdr:cNvPicPr>
              <a:picLocks noChangeAspect="1" noChangeArrowheads="1"/>
              <a:extLst>
                <a:ext uri="{84589F7E-364E-4C9E-8A38-B11213B215E9}">
                  <a14:cameraTool cellRange="'matrix pivot'!$H$4:$L$9" spid="_x0000_s1050"/>
                </a:ext>
              </a:extLst>
            </xdr:cNvPicPr>
          </xdr:nvPicPr>
          <xdr:blipFill>
            <a:blip xmlns:r="http://schemas.openxmlformats.org/officeDocument/2006/relationships" r:embed="rId2"/>
            <a:srcRect/>
            <a:stretch>
              <a:fillRect/>
            </a:stretch>
          </xdr:blipFill>
          <xdr:spPr bwMode="auto">
            <a:xfrm>
              <a:off x="8115300" y="1409699"/>
              <a:ext cx="2764693" cy="164135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190500</xdr:colOff>
      <xdr:row>4</xdr:row>
      <xdr:rowOff>88901</xdr:rowOff>
    </xdr:from>
    <xdr:to>
      <xdr:col>26</xdr:col>
      <xdr:colOff>243300</xdr:colOff>
      <xdr:row>17</xdr:row>
      <xdr:rowOff>132401</xdr:rowOff>
    </xdr:to>
    <xdr:graphicFrame macro="">
      <xdr:nvGraphicFramePr>
        <xdr:cNvPr id="23" name="Chart 22">
          <a:extLst>
            <a:ext uri="{FF2B5EF4-FFF2-40B4-BE49-F238E27FC236}">
              <a16:creationId xmlns:a16="http://schemas.microsoft.com/office/drawing/2014/main" id="{1221DA57-AF4E-4124-BB54-F254038CE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103012</xdr:colOff>
      <xdr:row>19</xdr:row>
      <xdr:rowOff>42863</xdr:rowOff>
    </xdr:from>
    <xdr:to>
      <xdr:col>11</xdr:col>
      <xdr:colOff>136762</xdr:colOff>
      <xdr:row>45</xdr:row>
      <xdr:rowOff>5720</xdr:rowOff>
    </xdr:to>
    <xdr:graphicFrame macro="">
      <xdr:nvGraphicFramePr>
        <xdr:cNvPr id="24" name="Chart 23">
          <a:extLst>
            <a:ext uri="{FF2B5EF4-FFF2-40B4-BE49-F238E27FC236}">
              <a16:creationId xmlns:a16="http://schemas.microsoft.com/office/drawing/2014/main" id="{CC2550FA-F302-49C9-B7A6-6B235800F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393700</xdr:colOff>
      <xdr:row>35</xdr:row>
      <xdr:rowOff>88900</xdr:rowOff>
    </xdr:from>
    <xdr:to>
      <xdr:col>9</xdr:col>
      <xdr:colOff>38100</xdr:colOff>
      <xdr:row>42</xdr:row>
      <xdr:rowOff>30847</xdr:rowOff>
    </xdr:to>
    <xdr:graphicFrame macro="">
      <xdr:nvGraphicFramePr>
        <xdr:cNvPr id="25" name="Chart 24">
          <a:extLst>
            <a:ext uri="{FF2B5EF4-FFF2-40B4-BE49-F238E27FC236}">
              <a16:creationId xmlns:a16="http://schemas.microsoft.com/office/drawing/2014/main" id="{A151F335-7115-4B5E-A824-8C7CA7DC8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436151</xdr:colOff>
      <xdr:row>19</xdr:row>
      <xdr:rowOff>75593</xdr:rowOff>
    </xdr:from>
    <xdr:to>
      <xdr:col>18</xdr:col>
      <xdr:colOff>469901</xdr:colOff>
      <xdr:row>45</xdr:row>
      <xdr:rowOff>38450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C9613754-C7FE-4014-9892-A95E76742C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19551" y="3695093"/>
              <a:ext cx="4300950" cy="4915857"/>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369024</xdr:colOff>
      <xdr:row>26</xdr:row>
      <xdr:rowOff>136128</xdr:rowOff>
    </xdr:from>
    <xdr:to>
      <xdr:col>18</xdr:col>
      <xdr:colOff>271859</xdr:colOff>
      <xdr:row>34</xdr:row>
      <xdr:rowOff>155971</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16113753-66C4-4AC9-A565-38F4640FF6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300424" y="5089128"/>
              <a:ext cx="1122035" cy="1543843"/>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197048</xdr:colOff>
      <xdr:row>19</xdr:row>
      <xdr:rowOff>108003</xdr:rowOff>
    </xdr:from>
    <xdr:to>
      <xdr:col>26</xdr:col>
      <xdr:colOff>299997</xdr:colOff>
      <xdr:row>30</xdr:row>
      <xdr:rowOff>130175</xdr:rowOff>
    </xdr:to>
    <xdr:graphicFrame macro="">
      <xdr:nvGraphicFramePr>
        <xdr:cNvPr id="28" name="Chart 27">
          <a:extLst>
            <a:ext uri="{FF2B5EF4-FFF2-40B4-BE49-F238E27FC236}">
              <a16:creationId xmlns:a16="http://schemas.microsoft.com/office/drawing/2014/main" id="{45052C64-9185-494A-B53E-FC577FB06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219387</xdr:colOff>
      <xdr:row>33</xdr:row>
      <xdr:rowOff>66675</xdr:rowOff>
    </xdr:from>
    <xdr:to>
      <xdr:col>26</xdr:col>
      <xdr:colOff>322336</xdr:colOff>
      <xdr:row>45</xdr:row>
      <xdr:rowOff>8243</xdr:rowOff>
    </xdr:to>
    <xdr:graphicFrame macro="">
      <xdr:nvGraphicFramePr>
        <xdr:cNvPr id="29" name="Chart 28">
          <a:extLst>
            <a:ext uri="{FF2B5EF4-FFF2-40B4-BE49-F238E27FC236}">
              <a16:creationId xmlns:a16="http://schemas.microsoft.com/office/drawing/2014/main" id="{CDE7BAE3-6610-4D23-9CDA-DBF6F9A9A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259862</xdr:colOff>
      <xdr:row>25</xdr:row>
      <xdr:rowOff>17584</xdr:rowOff>
    </xdr:from>
    <xdr:to>
      <xdr:col>3</xdr:col>
      <xdr:colOff>145562</xdr:colOff>
      <xdr:row>35</xdr:row>
      <xdr:rowOff>44168</xdr:rowOff>
    </xdr:to>
    <mc:AlternateContent xmlns:mc="http://schemas.openxmlformats.org/markup-compatibility/2006">
      <mc:Choice xmlns:a14="http://schemas.microsoft.com/office/drawing/2010/main" Requires="a14">
        <xdr:graphicFrame macro="">
          <xdr:nvGraphicFramePr>
            <xdr:cNvPr id="30" name="Order Mode">
              <a:extLst>
                <a:ext uri="{FF2B5EF4-FFF2-40B4-BE49-F238E27FC236}">
                  <a16:creationId xmlns:a16="http://schemas.microsoft.com/office/drawing/2014/main" id="{3221946F-CC86-43C3-8BF6-56685A5A184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513862" y="4780084"/>
              <a:ext cx="1638300" cy="19315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268936</xdr:colOff>
      <xdr:row>36</xdr:row>
      <xdr:rowOff>35218</xdr:rowOff>
    </xdr:from>
    <xdr:to>
      <xdr:col>3</xdr:col>
      <xdr:colOff>154636</xdr:colOff>
      <xdr:row>45</xdr:row>
      <xdr:rowOff>26376</xdr:rowOff>
    </xdr:to>
    <mc:AlternateContent xmlns:mc="http://schemas.openxmlformats.org/markup-compatibility/2006">
      <mc:Choice xmlns:a14="http://schemas.microsoft.com/office/drawing/2010/main" Requires="a14">
        <xdr:graphicFrame macro="">
          <xdr:nvGraphicFramePr>
            <xdr:cNvPr id="31" name="Gender Value">
              <a:extLst>
                <a:ext uri="{FF2B5EF4-FFF2-40B4-BE49-F238E27FC236}">
                  <a16:creationId xmlns:a16="http://schemas.microsoft.com/office/drawing/2014/main" id="{B01E1CDE-DCE5-4189-9459-F47EB4BA14E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522936" y="6893218"/>
              <a:ext cx="1638300" cy="17056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123708</xdr:colOff>
      <xdr:row>4</xdr:row>
      <xdr:rowOff>178741</xdr:rowOff>
    </xdr:from>
    <xdr:to>
      <xdr:col>17</xdr:col>
      <xdr:colOff>225308</xdr:colOff>
      <xdr:row>6</xdr:row>
      <xdr:rowOff>13641</xdr:rowOff>
    </xdr:to>
    <xdr:sp macro="" textlink="">
      <xdr:nvSpPr>
        <xdr:cNvPr id="34" name="TextBox 33">
          <a:extLst>
            <a:ext uri="{FF2B5EF4-FFF2-40B4-BE49-F238E27FC236}">
              <a16:creationId xmlns:a16="http://schemas.microsoft.com/office/drawing/2014/main" id="{15860608-F853-F3A3-05AC-D5074989F427}"/>
            </a:ext>
          </a:extLst>
        </xdr:cNvPr>
        <xdr:cNvSpPr txBox="1"/>
      </xdr:nvSpPr>
      <xdr:spPr>
        <a:xfrm>
          <a:off x="8226308" y="940741"/>
          <a:ext cx="2540000" cy="2159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latin typeface="Aptos Display" panose="020B0004020202020204" pitchFamily="34" charset="0"/>
            </a:rPr>
            <a:t>How they</a:t>
          </a:r>
          <a:r>
            <a:rPr lang="en-ID" sz="1400" b="1" baseline="0">
              <a:latin typeface="Aptos Display" panose="020B0004020202020204" pitchFamily="34" charset="0"/>
            </a:rPr>
            <a:t> like to buy?</a:t>
          </a:r>
          <a:endParaRPr lang="en-ID" sz="1400" b="1">
            <a:latin typeface="Aptos Display" panose="020B0004020202020204" pitchFamily="34" charset="0"/>
          </a:endParaRPr>
        </a:p>
      </xdr:txBody>
    </xdr:sp>
    <xdr:clientData/>
  </xdr:twoCellAnchor>
  <xdr:twoCellAnchor editAs="oneCell">
    <xdr:from>
      <xdr:col>1</xdr:col>
      <xdr:colOff>322337</xdr:colOff>
      <xdr:row>2</xdr:row>
      <xdr:rowOff>138490</xdr:rowOff>
    </xdr:from>
    <xdr:to>
      <xdr:col>3</xdr:col>
      <xdr:colOff>111857</xdr:colOff>
      <xdr:row>5</xdr:row>
      <xdr:rowOff>38826</xdr:rowOff>
    </xdr:to>
    <xdr:pic>
      <xdr:nvPicPr>
        <xdr:cNvPr id="37" name="Picture 36">
          <a:extLst>
            <a:ext uri="{FF2B5EF4-FFF2-40B4-BE49-F238E27FC236}">
              <a16:creationId xmlns:a16="http://schemas.microsoft.com/office/drawing/2014/main" id="{959715A8-AD60-4CC7-85EC-C90A32903A4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576337" y="519490"/>
          <a:ext cx="1542120" cy="47183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 riyadho" refreshedDate="46156.558002430553" createdVersion="8" refreshedVersion="8" minRefreshableVersion="3" recordCount="2400" xr:uid="{66A57806-9433-4398-A595-3BD653473FFF}">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930844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91384-7775-46BF-BBB4-FEF561199F96}"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5787B7-5B6A-415B-B464-2DC75422E5E1}"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0">
  <location ref="B85:E143"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2">
    <chartFormat chart="34" format="0"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66374-6A98-4771-9542-7BF6ED0A212F}"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74C133-854E-46F0-A2AD-87AA3A88154F}"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J51:K56"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2" format="0" series="1">
      <pivotArea type="data" outline="0" fieldPosition="0">
        <references count="2">
          <reference field="4294967294" count="1" selected="0">
            <x v="0"/>
          </reference>
          <reference field="14" count="1" selected="0">
            <x v="0"/>
          </reference>
        </references>
      </pivotArea>
    </chartFormat>
    <chartFormat chart="22" format="1" series="1">
      <pivotArea type="data" outline="0" fieldPosition="0">
        <references count="2">
          <reference field="4294967294" count="1" selected="0">
            <x v="0"/>
          </reference>
          <reference field="14" count="1" selected="0">
            <x v="1"/>
          </reference>
        </references>
      </pivotArea>
    </chartFormat>
    <chartFormat chart="22" format="2" series="1">
      <pivotArea type="data" outline="0" fieldPosition="0">
        <references count="2">
          <reference field="4294967294" count="1" selected="0">
            <x v="0"/>
          </reference>
          <reference field="14" count="1" selected="0">
            <x v="2"/>
          </reference>
        </references>
      </pivotArea>
    </chartFormat>
    <chartFormat chart="22" format="3" series="1">
      <pivotArea type="data" outline="0" fieldPosition="0">
        <references count="2">
          <reference field="4294967294" count="1" selected="0">
            <x v="0"/>
          </reference>
          <reference field="14" count="1" selected="0">
            <x v="3"/>
          </reference>
        </references>
      </pivotArea>
    </chartFormat>
    <chartFormat chart="25" format="8" series="1">
      <pivotArea type="data" outline="0" fieldPosition="0">
        <references count="2">
          <reference field="4294967294" count="1" selected="0">
            <x v="0"/>
          </reference>
          <reference field="14" count="1" selected="0">
            <x v="0"/>
          </reference>
        </references>
      </pivotArea>
    </chartFormat>
    <chartFormat chart="25" format="9" series="1">
      <pivotArea type="data" outline="0" fieldPosition="0">
        <references count="2">
          <reference field="4294967294" count="1" selected="0">
            <x v="0"/>
          </reference>
          <reference field="14" count="1" selected="0">
            <x v="1"/>
          </reference>
        </references>
      </pivotArea>
    </chartFormat>
    <chartFormat chart="25" format="10" series="1">
      <pivotArea type="data" outline="0" fieldPosition="0">
        <references count="2">
          <reference field="4294967294" count="1" selected="0">
            <x v="0"/>
          </reference>
          <reference field="14" count="1" selected="0">
            <x v="2"/>
          </reference>
        </references>
      </pivotArea>
    </chartFormat>
    <chartFormat chart="25" format="11" series="1">
      <pivotArea type="data" outline="0" fieldPosition="0">
        <references count="2">
          <reference field="4294967294" count="1" selected="0">
            <x v="0"/>
          </reference>
          <reference field="14" count="1" selected="0">
            <x v="3"/>
          </reference>
        </references>
      </pivotArea>
    </chartFormat>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14" count="1" selected="0">
            <x v="0"/>
          </reference>
        </references>
      </pivotArea>
    </chartFormat>
    <chartFormat chart="37" format="8">
      <pivotArea type="data" outline="0" fieldPosition="0">
        <references count="2">
          <reference field="4294967294" count="1" selected="0">
            <x v="0"/>
          </reference>
          <reference field="14" count="1" selected="0">
            <x v="1"/>
          </reference>
        </references>
      </pivotArea>
    </chartFormat>
    <chartFormat chart="37" format="9">
      <pivotArea type="data" outline="0" fieldPosition="0">
        <references count="2">
          <reference field="4294967294" count="1" selected="0">
            <x v="0"/>
          </reference>
          <reference field="14" count="1" selected="0">
            <x v="2"/>
          </reference>
        </references>
      </pivotArea>
    </chartFormat>
    <chartFormat chart="37"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A4D46F-711C-4CDD-92CE-12C52F4755A7}" name="pv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51:F7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25" format="8" series="1">
      <pivotArea type="data" outline="0" fieldPosition="0">
        <references count="2">
          <reference field="4294967294" count="1" selected="0">
            <x v="0"/>
          </reference>
          <reference field="14" count="1" selected="0">
            <x v="0"/>
          </reference>
        </references>
      </pivotArea>
    </chartFormat>
    <chartFormat chart="25" format="9" series="1">
      <pivotArea type="data" outline="0" fieldPosition="0">
        <references count="2">
          <reference field="4294967294" count="1" selected="0">
            <x v="0"/>
          </reference>
          <reference field="14" count="1" selected="0">
            <x v="1"/>
          </reference>
        </references>
      </pivotArea>
    </chartFormat>
    <chartFormat chart="25" format="10" series="1">
      <pivotArea type="data" outline="0" fieldPosition="0">
        <references count="2">
          <reference field="4294967294" count="1" selected="0">
            <x v="0"/>
          </reference>
          <reference field="14" count="1" selected="0">
            <x v="2"/>
          </reference>
        </references>
      </pivotArea>
    </chartFormat>
    <chartFormat chart="25"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63D2E2-CA6D-403C-9569-C5F6F99C528B}"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4:B42"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8BF7C9-D14F-4414-827F-9DB78002520B}"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77:G182"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formats count="1">
    <format dxfId="78">
      <pivotArea type="all" dataOnly="0" outline="0" fieldPosition="0"/>
    </format>
  </formats>
  <chartFormats count="5">
    <chartFormat chart="24" format="13" series="1">
      <pivotArea type="data" outline="0" fieldPosition="0">
        <references count="2">
          <reference field="4294967294" count="1" selected="0">
            <x v="0"/>
          </reference>
          <reference field="9" count="1" selected="0">
            <x v="0"/>
          </reference>
        </references>
      </pivotArea>
    </chartFormat>
    <chartFormat chart="24" format="14" series="1">
      <pivotArea type="data" outline="0" fieldPosition="0">
        <references count="2">
          <reference field="4294967294" count="1" selected="0">
            <x v="0"/>
          </reference>
          <reference field="9" count="1" selected="0">
            <x v="1"/>
          </reference>
        </references>
      </pivotArea>
    </chartFormat>
    <chartFormat chart="24" format="15" series="1">
      <pivotArea type="data" outline="0" fieldPosition="0">
        <references count="2">
          <reference field="4294967294" count="1" selected="0">
            <x v="0"/>
          </reference>
          <reference field="9" count="1" selected="0">
            <x v="2"/>
          </reference>
        </references>
      </pivotArea>
    </chartFormat>
    <chartFormat chart="24" format="16" series="1">
      <pivotArea type="data" outline="0" fieldPosition="0">
        <references count="2">
          <reference field="4294967294" count="1" selected="0">
            <x v="0"/>
          </reference>
          <reference field="9" count="1" selected="0">
            <x v="3"/>
          </reference>
        </references>
      </pivotArea>
    </chartFormat>
    <chartFormat chart="2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9DE753-F644-49C5-B6C0-8C4F860B6BB3}" name="pvtDura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53:B16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72DB55-37DF-44E7-B07E-1D4D887DCA4E}" name="pvt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2">
    <format dxfId="80">
      <pivotArea collapsedLevelsAreSubtotals="1" fieldPosition="0">
        <references count="2">
          <reference field="4294967294" count="1" selected="0">
            <x v="1"/>
          </reference>
          <reference field="13" count="1">
            <x v="0"/>
          </reference>
        </references>
      </pivotArea>
    </format>
    <format dxfId="79">
      <pivotArea outline="0" fieldPosition="0">
        <references count="1">
          <reference field="4294967294" count="1">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E1D875E-EE8C-49C6-B021-FC6E5F3222A8}" sourceName="Order Mode">
  <pivotTables>
    <pivotTable tabId="6" name="pvtRating"/>
    <pivotTable tabId="6" name="pvtDurations"/>
    <pivotTable tabId="6" name="pvtGender"/>
    <pivotTable tabId="6" name="pvtMap"/>
    <pivotTable tabId="6" name="pvtProducts"/>
    <pivotTable tabId="6" name="pvtQty"/>
    <pivotTable tabId="6" name="PvtSummary"/>
    <pivotTable tabId="6" name="pvtTrends"/>
  </pivotTables>
  <data>
    <tabular pivotCacheId="193084419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06A64E5-70C8-4CAC-B1EB-4D7E152962FF}" sourceName="Gender Value">
  <pivotTables>
    <pivotTable tabId="6" name="pvtRating"/>
    <pivotTable tabId="6" name="pvtDurations"/>
    <pivotTable tabId="6" name="pvtGender"/>
    <pivotTable tabId="6" name="pvtMap"/>
    <pivotTable tabId="6" name="pvtProducts"/>
    <pivotTable tabId="6" name="pvtQty"/>
    <pivotTable tabId="6" name="PvtSummary"/>
    <pivotTable tabId="6" name="pvtTrends"/>
  </pivotTables>
  <data>
    <tabular pivotCacheId="193084419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7ABBE8F-E532-4A4B-8568-B545308E9F37}" cache="Slicer_Order_Mode" caption="Order Mode" style="SlicerStyleLight2" rowHeight="241300"/>
  <slicer name="Gender Value" xr10:uid="{CC6B624F-76ED-4133-BA1F-3C4C042FBD73}" cache="Slicer_Gender_Value" caption="Gender Valu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3F2D2-0E5B-4A88-A48E-DEA5D80F0128}" name="orders" displayName="orders" ref="A1:O2401" totalsRowShown="0">
  <tableColumns count="15">
    <tableColumn id="1" xr3:uid="{73B15595-319A-42A8-90BE-9E4CF8F1AA6A}" name="TX ID"/>
    <tableColumn id="2" xr3:uid="{E4788914-BAE0-45FE-BB6F-FAFB554CA66F}" name="Product"/>
    <tableColumn id="3" xr3:uid="{8CAC1CE4-E5BC-476E-90F6-8E22A6F58C96}" name="Quantity"/>
    <tableColumn id="4" xr3:uid="{8456E825-7B71-4CDD-B1AA-7E246496DAA5}" name="Unit Price"/>
    <tableColumn id="5" xr3:uid="{E3A1DF35-2AE2-444B-8259-8C9672C9D8D3}" name="Amount"/>
    <tableColumn id="6" xr3:uid="{0218AA00-7A9A-4251-9C50-86505317AC67}" name="Order Date" dataDxfId="85"/>
    <tableColumn id="7" xr3:uid="{FC54E2E0-1F81-404C-B1DA-EEFC9A84BFBD}" name="Ship Date" dataDxfId="84"/>
    <tableColumn id="8" xr3:uid="{E95A0823-1A3D-46B3-B38D-C3C60B21B70D}" name="Customer Gender"/>
    <tableColumn id="9" xr3:uid="{D33F3130-ACBD-4D20-A851-A6D0AE877AEC}" name="Order Mode"/>
    <tableColumn id="10" xr3:uid="{E7DE8CD7-D72C-41BE-9373-4755555E7EC1}" name="Rating C"/>
    <tableColumn id="15" xr3:uid="{D4FD49D6-007B-42AD-8EA7-CA5755F61A32}" name="State"/>
    <tableColumn id="14" xr3:uid="{C3A2DC4A-34FE-4DCC-B7C2-FFE26AA8601F}" name="County"/>
    <tableColumn id="11" xr3:uid="{E3EF71D2-05DB-4CB2-AF00-A817997D7142}" name="Days to Deliver" dataDxfId="83">
      <calculatedColumnFormula>orders[[#This Row],[Ship Date]]-orders[[#This Row],[Order Date]]</calculatedColumnFormula>
    </tableColumn>
    <tableColumn id="12" xr3:uid="{01219EA0-FD29-42DC-B918-92D776A01FA0}" name="Weeknum" dataDxfId="82">
      <calculatedColumnFormula>WEEKNUM(orders[[#This Row],[Order Date]])</calculatedColumnFormula>
    </tableColumn>
    <tableColumn id="13" xr3:uid="{115F424B-61B1-43E9-8385-B286B703812B}" name="Gender Value" dataDxfId="81">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5EA0B-B8BD-4FE0-84E8-8C1D529E9D0E}">
  <dimension ref="A1:O2401"/>
  <sheetViews>
    <sheetView zoomScale="74" zoomScaleNormal="74" workbookViewId="0">
      <selection activeCell="P9" sqref="P9"/>
    </sheetView>
  </sheetViews>
  <sheetFormatPr defaultRowHeight="14.5" x14ac:dyDescent="0.35"/>
  <cols>
    <col min="2" max="2" width="14.36328125" customWidth="1"/>
    <col min="6" max="6" width="11.6328125" customWidth="1"/>
    <col min="7" max="7" width="13.1796875" customWidth="1"/>
  </cols>
  <sheetData>
    <row r="1" spans="1:15" x14ac:dyDescent="0.35">
      <c r="A1" t="s">
        <v>2488</v>
      </c>
      <c r="B1" t="s">
        <v>2489</v>
      </c>
      <c r="C1" t="s">
        <v>2490</v>
      </c>
      <c r="D1" t="s">
        <v>2491</v>
      </c>
      <c r="E1" t="s">
        <v>2492</v>
      </c>
      <c r="F1" t="s">
        <v>2493</v>
      </c>
      <c r="G1" t="s">
        <v>2494</v>
      </c>
      <c r="H1" t="s">
        <v>2495</v>
      </c>
      <c r="I1" t="s">
        <v>2496</v>
      </c>
      <c r="J1" t="s">
        <v>2497</v>
      </c>
      <c r="K1" t="s">
        <v>2498</v>
      </c>
      <c r="L1" t="s">
        <v>2499</v>
      </c>
      <c r="M1" s="2" t="s">
        <v>2500</v>
      </c>
      <c r="N1" s="2" t="s">
        <v>2501</v>
      </c>
      <c r="O1" s="2" t="s">
        <v>2502</v>
      </c>
    </row>
    <row r="2" spans="1:15" x14ac:dyDescent="0.35">
      <c r="A2" t="s">
        <v>0</v>
      </c>
      <c r="B2" t="s">
        <v>1</v>
      </c>
      <c r="C2">
        <v>1</v>
      </c>
      <c r="D2">
        <v>10.9</v>
      </c>
      <c r="E2">
        <v>10.9</v>
      </c>
      <c r="F2" s="1">
        <v>45658</v>
      </c>
      <c r="G2" s="1">
        <v>45663</v>
      </c>
      <c r="H2" t="s">
        <v>2</v>
      </c>
      <c r="I2" t="s">
        <v>3</v>
      </c>
      <c r="J2">
        <v>4</v>
      </c>
      <c r="K2" t="s">
        <v>4</v>
      </c>
      <c r="L2" t="s">
        <v>5</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6</v>
      </c>
      <c r="B3" t="s">
        <v>7</v>
      </c>
      <c r="C3">
        <v>2</v>
      </c>
      <c r="D3">
        <v>30.6</v>
      </c>
      <c r="E3">
        <v>61.2</v>
      </c>
      <c r="F3" s="1">
        <v>45658</v>
      </c>
      <c r="G3" s="1">
        <v>45660</v>
      </c>
      <c r="H3" t="s">
        <v>8</v>
      </c>
      <c r="I3" t="s">
        <v>3</v>
      </c>
      <c r="J3">
        <v>4</v>
      </c>
      <c r="K3" t="s">
        <v>4</v>
      </c>
      <c r="L3" t="s">
        <v>9</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10</v>
      </c>
      <c r="B4" t="s">
        <v>11</v>
      </c>
      <c r="C4">
        <v>3</v>
      </c>
      <c r="D4">
        <v>109.4</v>
      </c>
      <c r="E4">
        <v>328.20000000000005</v>
      </c>
      <c r="F4" s="1">
        <v>45658</v>
      </c>
      <c r="G4" s="1">
        <v>45661</v>
      </c>
      <c r="H4" t="s">
        <v>12</v>
      </c>
      <c r="I4" t="s">
        <v>3</v>
      </c>
      <c r="J4">
        <v>3</v>
      </c>
      <c r="K4" t="s">
        <v>4</v>
      </c>
      <c r="L4" t="s">
        <v>13</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14</v>
      </c>
      <c r="B5" t="s">
        <v>15</v>
      </c>
      <c r="C5">
        <v>7</v>
      </c>
      <c r="D5">
        <v>37.700000000000003</v>
      </c>
      <c r="E5">
        <v>263.90000000000003</v>
      </c>
      <c r="F5" s="1">
        <v>45658</v>
      </c>
      <c r="G5" s="1">
        <v>45659</v>
      </c>
      <c r="H5" t="s">
        <v>12</v>
      </c>
      <c r="I5" t="s">
        <v>3</v>
      </c>
      <c r="J5">
        <v>4</v>
      </c>
      <c r="K5" t="s">
        <v>4</v>
      </c>
      <c r="L5" t="s">
        <v>13</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16</v>
      </c>
      <c r="B6" t="s">
        <v>17</v>
      </c>
      <c r="C6">
        <v>3</v>
      </c>
      <c r="D6">
        <v>56.7</v>
      </c>
      <c r="E6">
        <v>170.10000000000002</v>
      </c>
      <c r="F6" s="1">
        <v>45658</v>
      </c>
      <c r="G6" s="1">
        <v>45661</v>
      </c>
      <c r="H6" t="s">
        <v>12</v>
      </c>
      <c r="I6" t="s">
        <v>3</v>
      </c>
      <c r="J6">
        <v>5</v>
      </c>
      <c r="K6" t="s">
        <v>4</v>
      </c>
      <c r="L6" t="s">
        <v>18</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19</v>
      </c>
      <c r="B7" t="s">
        <v>7</v>
      </c>
      <c r="C7">
        <v>12</v>
      </c>
      <c r="D7">
        <v>83.5</v>
      </c>
      <c r="E7">
        <v>1002</v>
      </c>
      <c r="F7" s="1">
        <v>45658</v>
      </c>
      <c r="G7" s="1">
        <v>45661</v>
      </c>
      <c r="H7" t="s">
        <v>8</v>
      </c>
      <c r="I7" t="s">
        <v>20</v>
      </c>
      <c r="J7">
        <v>4</v>
      </c>
      <c r="K7" t="s">
        <v>4</v>
      </c>
      <c r="L7" t="s">
        <v>18</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21</v>
      </c>
      <c r="B8" t="s">
        <v>22</v>
      </c>
      <c r="C8">
        <v>1</v>
      </c>
      <c r="D8">
        <v>55.3</v>
      </c>
      <c r="E8">
        <v>55.3</v>
      </c>
      <c r="F8" s="1">
        <v>45658</v>
      </c>
      <c r="G8" s="1">
        <v>45659</v>
      </c>
      <c r="H8" t="s">
        <v>12</v>
      </c>
      <c r="I8" t="s">
        <v>3</v>
      </c>
      <c r="J8">
        <v>4</v>
      </c>
      <c r="K8" t="s">
        <v>4</v>
      </c>
      <c r="L8" t="s">
        <v>18</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23</v>
      </c>
      <c r="B9" t="s">
        <v>24</v>
      </c>
      <c r="C9">
        <v>2</v>
      </c>
      <c r="D9">
        <v>40.299999999999997</v>
      </c>
      <c r="E9">
        <v>80.599999999999994</v>
      </c>
      <c r="F9" s="1">
        <v>45658</v>
      </c>
      <c r="G9" s="1">
        <v>45659</v>
      </c>
      <c r="H9" t="s">
        <v>8</v>
      </c>
      <c r="I9" t="s">
        <v>25</v>
      </c>
      <c r="J9">
        <v>5</v>
      </c>
      <c r="K9" t="s">
        <v>4</v>
      </c>
      <c r="L9" t="s">
        <v>18</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26</v>
      </c>
      <c r="B10" t="s">
        <v>27</v>
      </c>
      <c r="C10">
        <v>11</v>
      </c>
      <c r="D10">
        <v>35.700000000000003</v>
      </c>
      <c r="E10">
        <v>392.70000000000005</v>
      </c>
      <c r="F10" s="1">
        <v>45658</v>
      </c>
      <c r="G10" s="1">
        <v>45659</v>
      </c>
      <c r="H10" t="s">
        <v>12</v>
      </c>
      <c r="I10" t="s">
        <v>3</v>
      </c>
      <c r="J10">
        <v>4</v>
      </c>
      <c r="K10" t="s">
        <v>4</v>
      </c>
      <c r="L10" t="s">
        <v>18</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28</v>
      </c>
      <c r="B11" t="s">
        <v>29</v>
      </c>
      <c r="C11">
        <v>7</v>
      </c>
      <c r="D11">
        <v>22.4</v>
      </c>
      <c r="E11">
        <v>156.79999999999998</v>
      </c>
      <c r="F11" s="1">
        <v>45658</v>
      </c>
      <c r="G11" s="1">
        <v>45661</v>
      </c>
      <c r="H11" t="s">
        <v>8</v>
      </c>
      <c r="I11" t="s">
        <v>3</v>
      </c>
      <c r="J11">
        <v>3</v>
      </c>
      <c r="K11" t="s">
        <v>4</v>
      </c>
      <c r="L11" t="s">
        <v>18</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30</v>
      </c>
      <c r="B12" t="s">
        <v>31</v>
      </c>
      <c r="C12">
        <v>2</v>
      </c>
      <c r="D12">
        <v>54.4</v>
      </c>
      <c r="E12">
        <v>108.8</v>
      </c>
      <c r="F12" s="1">
        <v>45658</v>
      </c>
      <c r="G12" s="1">
        <v>45664</v>
      </c>
      <c r="H12" t="s">
        <v>12</v>
      </c>
      <c r="I12" t="s">
        <v>3</v>
      </c>
      <c r="J12">
        <v>4</v>
      </c>
      <c r="K12" t="s">
        <v>4</v>
      </c>
      <c r="L12" t="s">
        <v>18</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32</v>
      </c>
      <c r="B13" t="s">
        <v>31</v>
      </c>
      <c r="C13">
        <v>2</v>
      </c>
      <c r="D13">
        <v>49</v>
      </c>
      <c r="E13">
        <v>98</v>
      </c>
      <c r="F13" s="1">
        <v>45658</v>
      </c>
      <c r="G13" s="1">
        <v>45660</v>
      </c>
      <c r="H13" t="s">
        <v>12</v>
      </c>
      <c r="I13" t="s">
        <v>25</v>
      </c>
      <c r="J13">
        <v>3</v>
      </c>
      <c r="K13" t="s">
        <v>4</v>
      </c>
      <c r="L13" t="s">
        <v>18</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33</v>
      </c>
      <c r="B14" t="s">
        <v>22</v>
      </c>
      <c r="C14">
        <v>7</v>
      </c>
      <c r="D14">
        <v>118.6</v>
      </c>
      <c r="E14">
        <v>830.19999999999993</v>
      </c>
      <c r="F14" s="1">
        <v>45658</v>
      </c>
      <c r="G14" s="1">
        <v>45662</v>
      </c>
      <c r="H14" t="s">
        <v>12</v>
      </c>
      <c r="I14" t="s">
        <v>20</v>
      </c>
      <c r="J14">
        <v>4</v>
      </c>
      <c r="K14" t="s">
        <v>4</v>
      </c>
      <c r="L14" t="s">
        <v>34</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35</v>
      </c>
      <c r="B15" t="s">
        <v>24</v>
      </c>
      <c r="C15">
        <v>27</v>
      </c>
      <c r="D15">
        <v>88.4</v>
      </c>
      <c r="E15">
        <v>2386.8000000000002</v>
      </c>
      <c r="F15" s="1">
        <v>45658</v>
      </c>
      <c r="G15" s="1">
        <v>45665</v>
      </c>
      <c r="H15" t="s">
        <v>8</v>
      </c>
      <c r="I15" t="s">
        <v>36</v>
      </c>
      <c r="J15">
        <v>4</v>
      </c>
      <c r="K15" t="s">
        <v>4</v>
      </c>
      <c r="L15" t="s">
        <v>37</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38</v>
      </c>
      <c r="B16" t="s">
        <v>39</v>
      </c>
      <c r="C16">
        <v>1</v>
      </c>
      <c r="D16">
        <v>66.7</v>
      </c>
      <c r="E16">
        <v>66.7</v>
      </c>
      <c r="F16" s="1">
        <v>45658</v>
      </c>
      <c r="G16" s="1">
        <v>45661</v>
      </c>
      <c r="H16" t="s">
        <v>8</v>
      </c>
      <c r="I16" t="s">
        <v>3</v>
      </c>
      <c r="J16">
        <v>4</v>
      </c>
      <c r="K16" t="s">
        <v>4</v>
      </c>
      <c r="L16" t="s">
        <v>40</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41</v>
      </c>
      <c r="B17" t="s">
        <v>31</v>
      </c>
      <c r="C17">
        <v>10</v>
      </c>
      <c r="D17">
        <v>30.9</v>
      </c>
      <c r="E17">
        <v>309</v>
      </c>
      <c r="F17" s="1">
        <v>45658</v>
      </c>
      <c r="G17" s="1">
        <v>45659</v>
      </c>
      <c r="H17" t="s">
        <v>8</v>
      </c>
      <c r="I17" t="s">
        <v>20</v>
      </c>
      <c r="J17">
        <v>5</v>
      </c>
      <c r="K17" t="s">
        <v>4</v>
      </c>
      <c r="L17" t="s">
        <v>40</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42</v>
      </c>
      <c r="B18" t="s">
        <v>17</v>
      </c>
      <c r="C18">
        <v>3</v>
      </c>
      <c r="D18">
        <v>31.1</v>
      </c>
      <c r="E18">
        <v>93.300000000000011</v>
      </c>
      <c r="F18" s="1">
        <v>45658</v>
      </c>
      <c r="G18" s="1">
        <v>45659</v>
      </c>
      <c r="H18" t="s">
        <v>12</v>
      </c>
      <c r="I18" t="s">
        <v>3</v>
      </c>
      <c r="J18">
        <v>3</v>
      </c>
      <c r="K18" t="s">
        <v>4</v>
      </c>
      <c r="L18" t="s">
        <v>40</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43</v>
      </c>
      <c r="B19" t="s">
        <v>27</v>
      </c>
      <c r="C19">
        <v>3</v>
      </c>
      <c r="D19">
        <v>36.6</v>
      </c>
      <c r="E19">
        <v>109.80000000000001</v>
      </c>
      <c r="F19" s="1">
        <v>45658</v>
      </c>
      <c r="G19" s="1">
        <v>45661</v>
      </c>
      <c r="H19" t="s">
        <v>12</v>
      </c>
      <c r="I19" t="s">
        <v>3</v>
      </c>
      <c r="J19">
        <v>4</v>
      </c>
      <c r="K19" t="s">
        <v>4</v>
      </c>
      <c r="L19" t="s">
        <v>44</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45</v>
      </c>
      <c r="B20" t="s">
        <v>24</v>
      </c>
      <c r="C20">
        <v>8</v>
      </c>
      <c r="D20">
        <v>51.1</v>
      </c>
      <c r="E20">
        <v>408.8</v>
      </c>
      <c r="F20" s="1">
        <v>45658</v>
      </c>
      <c r="G20" s="1">
        <v>45661</v>
      </c>
      <c r="H20" t="s">
        <v>12</v>
      </c>
      <c r="I20" t="s">
        <v>25</v>
      </c>
      <c r="J20">
        <v>1</v>
      </c>
      <c r="K20" t="s">
        <v>4</v>
      </c>
      <c r="L20" t="s">
        <v>44</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46</v>
      </c>
      <c r="B21" t="s">
        <v>31</v>
      </c>
      <c r="C21">
        <v>1</v>
      </c>
      <c r="D21">
        <v>25.2</v>
      </c>
      <c r="E21">
        <v>25.2</v>
      </c>
      <c r="F21" s="1">
        <v>45658</v>
      </c>
      <c r="G21" s="1">
        <v>45659</v>
      </c>
      <c r="H21" t="s">
        <v>12</v>
      </c>
      <c r="I21" t="s">
        <v>20</v>
      </c>
      <c r="J21">
        <v>5</v>
      </c>
      <c r="K21" t="s">
        <v>4</v>
      </c>
      <c r="L21" t="s">
        <v>47</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48</v>
      </c>
      <c r="B22" t="s">
        <v>31</v>
      </c>
      <c r="C22">
        <v>5</v>
      </c>
      <c r="D22">
        <v>43.8</v>
      </c>
      <c r="E22">
        <v>219</v>
      </c>
      <c r="F22" s="1">
        <v>45658</v>
      </c>
      <c r="G22" s="1">
        <v>45661</v>
      </c>
      <c r="H22" t="s">
        <v>12</v>
      </c>
      <c r="I22" t="s">
        <v>25</v>
      </c>
      <c r="J22">
        <v>4</v>
      </c>
      <c r="K22" t="s">
        <v>4</v>
      </c>
      <c r="L22" t="s">
        <v>47</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49</v>
      </c>
      <c r="B23" t="s">
        <v>29</v>
      </c>
      <c r="C23">
        <v>12</v>
      </c>
      <c r="D23">
        <v>46.7</v>
      </c>
      <c r="E23">
        <v>560.40000000000009</v>
      </c>
      <c r="F23" s="1">
        <v>45658</v>
      </c>
      <c r="G23" s="1">
        <v>45659</v>
      </c>
      <c r="H23" t="s">
        <v>12</v>
      </c>
      <c r="I23" t="s">
        <v>20</v>
      </c>
      <c r="J23">
        <v>3</v>
      </c>
      <c r="K23" t="s">
        <v>4</v>
      </c>
      <c r="L23" t="s">
        <v>47</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50</v>
      </c>
      <c r="B24" t="s">
        <v>15</v>
      </c>
      <c r="C24">
        <v>19</v>
      </c>
      <c r="D24">
        <v>79.900000000000006</v>
      </c>
      <c r="E24">
        <v>1518.1000000000001</v>
      </c>
      <c r="F24" s="1">
        <v>45658</v>
      </c>
      <c r="G24" s="1">
        <v>45659</v>
      </c>
      <c r="H24" t="s">
        <v>8</v>
      </c>
      <c r="I24" t="s">
        <v>3</v>
      </c>
      <c r="J24">
        <v>5</v>
      </c>
      <c r="K24" t="s">
        <v>4</v>
      </c>
      <c r="L24" t="s">
        <v>47</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51</v>
      </c>
      <c r="B25" t="s">
        <v>52</v>
      </c>
      <c r="C25">
        <v>8</v>
      </c>
      <c r="D25">
        <v>26.4</v>
      </c>
      <c r="E25">
        <v>211.2</v>
      </c>
      <c r="F25" s="1">
        <v>45658</v>
      </c>
      <c r="G25" s="1">
        <v>45659</v>
      </c>
      <c r="H25" t="s">
        <v>12</v>
      </c>
      <c r="I25" t="s">
        <v>36</v>
      </c>
      <c r="J25">
        <v>4</v>
      </c>
      <c r="K25" t="s">
        <v>4</v>
      </c>
      <c r="L25" t="s">
        <v>47</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53</v>
      </c>
      <c r="B26" t="s">
        <v>54</v>
      </c>
      <c r="C26">
        <v>8</v>
      </c>
      <c r="D26">
        <v>88.8</v>
      </c>
      <c r="E26">
        <v>710.4</v>
      </c>
      <c r="F26" s="1">
        <v>45658</v>
      </c>
      <c r="G26" s="1">
        <v>45659</v>
      </c>
      <c r="H26" t="s">
        <v>12</v>
      </c>
      <c r="I26" t="s">
        <v>55</v>
      </c>
      <c r="J26">
        <v>4</v>
      </c>
      <c r="K26" t="s">
        <v>4</v>
      </c>
      <c r="L26" t="s">
        <v>47</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56</v>
      </c>
      <c r="B27" t="s">
        <v>1</v>
      </c>
      <c r="C27">
        <v>10</v>
      </c>
      <c r="D27">
        <v>17.5</v>
      </c>
      <c r="E27">
        <v>175</v>
      </c>
      <c r="F27" s="1">
        <v>45658</v>
      </c>
      <c r="G27" s="1">
        <v>45659</v>
      </c>
      <c r="H27" t="s">
        <v>12</v>
      </c>
      <c r="I27" t="s">
        <v>25</v>
      </c>
      <c r="J27">
        <v>4</v>
      </c>
      <c r="K27" t="s">
        <v>4</v>
      </c>
      <c r="L27" t="s">
        <v>57</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58</v>
      </c>
      <c r="B28" t="s">
        <v>7</v>
      </c>
      <c r="C28">
        <v>9</v>
      </c>
      <c r="D28">
        <v>38.700000000000003</v>
      </c>
      <c r="E28">
        <v>348.3</v>
      </c>
      <c r="F28" s="1">
        <v>45658</v>
      </c>
      <c r="G28" s="1">
        <v>45661</v>
      </c>
      <c r="H28" t="s">
        <v>8</v>
      </c>
      <c r="I28" t="s">
        <v>20</v>
      </c>
      <c r="J28">
        <v>4</v>
      </c>
      <c r="K28" t="s">
        <v>4</v>
      </c>
      <c r="L28" t="s">
        <v>59</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60</v>
      </c>
      <c r="B29" t="s">
        <v>61</v>
      </c>
      <c r="C29">
        <v>4</v>
      </c>
      <c r="D29">
        <v>57.2</v>
      </c>
      <c r="E29">
        <v>228.8</v>
      </c>
      <c r="F29" s="1">
        <v>45658</v>
      </c>
      <c r="G29" s="1">
        <v>45660</v>
      </c>
      <c r="H29" t="s">
        <v>2</v>
      </c>
      <c r="I29" t="s">
        <v>20</v>
      </c>
      <c r="J29">
        <v>5</v>
      </c>
      <c r="K29" t="s">
        <v>4</v>
      </c>
      <c r="L29" t="s">
        <v>62</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63</v>
      </c>
      <c r="B30" t="s">
        <v>24</v>
      </c>
      <c r="C30">
        <v>5</v>
      </c>
      <c r="D30">
        <v>50.9</v>
      </c>
      <c r="E30">
        <v>254.5</v>
      </c>
      <c r="F30" s="1">
        <v>45658</v>
      </c>
      <c r="G30" s="1">
        <v>45664</v>
      </c>
      <c r="H30" t="s">
        <v>2</v>
      </c>
      <c r="I30" t="s">
        <v>20</v>
      </c>
      <c r="J30">
        <v>5</v>
      </c>
      <c r="K30" t="s">
        <v>4</v>
      </c>
      <c r="L30" t="s">
        <v>64</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65</v>
      </c>
      <c r="B31" t="s">
        <v>66</v>
      </c>
      <c r="C31">
        <v>7</v>
      </c>
      <c r="D31">
        <v>41</v>
      </c>
      <c r="E31">
        <v>287</v>
      </c>
      <c r="F31" s="1">
        <v>45658</v>
      </c>
      <c r="G31" s="1">
        <v>45662</v>
      </c>
      <c r="H31" t="s">
        <v>12</v>
      </c>
      <c r="I31" t="s">
        <v>20</v>
      </c>
      <c r="J31">
        <v>4</v>
      </c>
      <c r="K31" t="s">
        <v>4</v>
      </c>
      <c r="L31" t="s">
        <v>67</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68</v>
      </c>
      <c r="B32" t="s">
        <v>29</v>
      </c>
      <c r="C32">
        <v>7</v>
      </c>
      <c r="D32">
        <v>19.100000000000001</v>
      </c>
      <c r="E32">
        <v>133.70000000000002</v>
      </c>
      <c r="F32" s="1">
        <v>45658</v>
      </c>
      <c r="G32" s="1">
        <v>45662</v>
      </c>
      <c r="H32" t="s">
        <v>8</v>
      </c>
      <c r="I32" t="s">
        <v>3</v>
      </c>
      <c r="J32">
        <v>5</v>
      </c>
      <c r="K32" t="s">
        <v>4</v>
      </c>
      <c r="L32" t="s">
        <v>69</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70</v>
      </c>
      <c r="B33" t="s">
        <v>11</v>
      </c>
      <c r="C33">
        <v>5</v>
      </c>
      <c r="D33">
        <v>166.1</v>
      </c>
      <c r="E33">
        <v>830.5</v>
      </c>
      <c r="F33" s="1">
        <v>45658</v>
      </c>
      <c r="G33" s="1">
        <v>45661</v>
      </c>
      <c r="H33" t="s">
        <v>8</v>
      </c>
      <c r="I33" t="s">
        <v>3</v>
      </c>
      <c r="J33">
        <v>4</v>
      </c>
      <c r="K33" t="s">
        <v>4</v>
      </c>
      <c r="L33" t="s">
        <v>71</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72</v>
      </c>
      <c r="B34" t="s">
        <v>17</v>
      </c>
      <c r="C34">
        <v>3</v>
      </c>
      <c r="D34">
        <v>29.9</v>
      </c>
      <c r="E34">
        <v>89.699999999999989</v>
      </c>
      <c r="F34" s="1">
        <v>45658</v>
      </c>
      <c r="G34" s="1">
        <v>45659</v>
      </c>
      <c r="H34" t="s">
        <v>8</v>
      </c>
      <c r="I34" t="s">
        <v>36</v>
      </c>
      <c r="J34">
        <v>4</v>
      </c>
      <c r="K34" t="s">
        <v>4</v>
      </c>
      <c r="L34" t="s">
        <v>18</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73</v>
      </c>
      <c r="B35" t="s">
        <v>39</v>
      </c>
      <c r="C35">
        <v>6</v>
      </c>
      <c r="D35">
        <v>21.7</v>
      </c>
      <c r="E35">
        <v>130.19999999999999</v>
      </c>
      <c r="F35" s="1">
        <v>45658</v>
      </c>
      <c r="G35" s="1">
        <v>45660</v>
      </c>
      <c r="H35" t="s">
        <v>74</v>
      </c>
      <c r="I35" t="s">
        <v>25</v>
      </c>
      <c r="J35">
        <v>5</v>
      </c>
      <c r="K35" t="s">
        <v>4</v>
      </c>
      <c r="L35" t="s">
        <v>18</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75</v>
      </c>
      <c r="B36" t="s">
        <v>52</v>
      </c>
      <c r="C36">
        <v>2</v>
      </c>
      <c r="D36">
        <v>32</v>
      </c>
      <c r="E36">
        <v>64</v>
      </c>
      <c r="F36" s="1">
        <v>45658</v>
      </c>
      <c r="G36" s="1">
        <v>45661</v>
      </c>
      <c r="H36" t="s">
        <v>8</v>
      </c>
      <c r="I36" t="s">
        <v>3</v>
      </c>
      <c r="J36">
        <v>5</v>
      </c>
      <c r="K36" t="s">
        <v>4</v>
      </c>
      <c r="L36" t="s">
        <v>18</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76</v>
      </c>
      <c r="B37" t="s">
        <v>29</v>
      </c>
      <c r="C37">
        <v>2</v>
      </c>
      <c r="D37">
        <v>15.8</v>
      </c>
      <c r="E37">
        <v>31.6</v>
      </c>
      <c r="F37" s="1">
        <v>45658</v>
      </c>
      <c r="G37" s="1">
        <v>45659</v>
      </c>
      <c r="H37" t="s">
        <v>8</v>
      </c>
      <c r="I37" t="s">
        <v>55</v>
      </c>
      <c r="J37">
        <v>5</v>
      </c>
      <c r="K37" t="s">
        <v>4</v>
      </c>
      <c r="L37" t="s">
        <v>18</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77</v>
      </c>
      <c r="B38" t="s">
        <v>11</v>
      </c>
      <c r="C38">
        <v>17</v>
      </c>
      <c r="D38">
        <v>203.1</v>
      </c>
      <c r="E38">
        <v>3452.7</v>
      </c>
      <c r="F38" s="1">
        <v>45658</v>
      </c>
      <c r="G38" s="1">
        <v>45662</v>
      </c>
      <c r="H38" t="s">
        <v>8</v>
      </c>
      <c r="I38" t="s">
        <v>36</v>
      </c>
      <c r="J38">
        <v>3</v>
      </c>
      <c r="K38" t="s">
        <v>4</v>
      </c>
      <c r="L38" t="s">
        <v>18</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78</v>
      </c>
      <c r="B39" t="s">
        <v>27</v>
      </c>
      <c r="C39">
        <v>13</v>
      </c>
      <c r="D39">
        <v>39</v>
      </c>
      <c r="E39">
        <v>507</v>
      </c>
      <c r="F39" s="1">
        <v>45658</v>
      </c>
      <c r="G39" s="1">
        <v>45664</v>
      </c>
      <c r="H39" t="s">
        <v>8</v>
      </c>
      <c r="I39" t="s">
        <v>3</v>
      </c>
      <c r="J39">
        <v>5</v>
      </c>
      <c r="K39" t="s">
        <v>4</v>
      </c>
      <c r="L39" t="s">
        <v>18</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79</v>
      </c>
      <c r="B40" t="s">
        <v>39</v>
      </c>
      <c r="C40">
        <v>1</v>
      </c>
      <c r="D40">
        <v>26.5</v>
      </c>
      <c r="E40">
        <v>26.5</v>
      </c>
      <c r="F40" s="1">
        <v>45659</v>
      </c>
      <c r="G40" s="1">
        <v>45660</v>
      </c>
      <c r="H40" t="s">
        <v>8</v>
      </c>
      <c r="I40" t="s">
        <v>25</v>
      </c>
      <c r="J40">
        <v>4</v>
      </c>
      <c r="K40" t="s">
        <v>4</v>
      </c>
      <c r="L40" t="s">
        <v>18</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80</v>
      </c>
      <c r="B41" t="s">
        <v>22</v>
      </c>
      <c r="C41">
        <v>1</v>
      </c>
      <c r="D41">
        <v>43.1</v>
      </c>
      <c r="E41">
        <v>43.1</v>
      </c>
      <c r="F41" s="1">
        <v>45659</v>
      </c>
      <c r="G41" s="1">
        <v>45660</v>
      </c>
      <c r="H41" t="s">
        <v>12</v>
      </c>
      <c r="I41" t="s">
        <v>25</v>
      </c>
      <c r="J41">
        <v>3</v>
      </c>
      <c r="K41" t="s">
        <v>4</v>
      </c>
      <c r="L41" t="s">
        <v>18</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81</v>
      </c>
      <c r="B42" t="s">
        <v>7</v>
      </c>
      <c r="C42">
        <v>3</v>
      </c>
      <c r="D42">
        <v>139</v>
      </c>
      <c r="E42">
        <v>417</v>
      </c>
      <c r="F42" s="1">
        <v>45659</v>
      </c>
      <c r="G42" s="1">
        <v>45660</v>
      </c>
      <c r="H42" t="s">
        <v>12</v>
      </c>
      <c r="I42" t="s">
        <v>55</v>
      </c>
      <c r="J42">
        <v>5</v>
      </c>
      <c r="K42" t="s">
        <v>4</v>
      </c>
      <c r="L42" t="s">
        <v>18</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82</v>
      </c>
      <c r="B43" t="s">
        <v>54</v>
      </c>
      <c r="C43">
        <v>1</v>
      </c>
      <c r="D43">
        <v>80.7</v>
      </c>
      <c r="E43">
        <v>80.7</v>
      </c>
      <c r="F43" s="1">
        <v>45659</v>
      </c>
      <c r="G43" s="1">
        <v>45660</v>
      </c>
      <c r="H43" t="s">
        <v>8</v>
      </c>
      <c r="I43" t="s">
        <v>3</v>
      </c>
      <c r="J43">
        <v>5</v>
      </c>
      <c r="K43" t="s">
        <v>4</v>
      </c>
      <c r="L43" t="s">
        <v>83</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84</v>
      </c>
      <c r="B44" t="s">
        <v>17</v>
      </c>
      <c r="C44">
        <v>2</v>
      </c>
      <c r="D44">
        <v>54.5</v>
      </c>
      <c r="E44">
        <v>109</v>
      </c>
      <c r="F44" s="1">
        <v>45659</v>
      </c>
      <c r="G44" s="1">
        <v>45661</v>
      </c>
      <c r="H44" t="s">
        <v>8</v>
      </c>
      <c r="I44" t="s">
        <v>20</v>
      </c>
      <c r="J44">
        <v>3</v>
      </c>
      <c r="K44" t="s">
        <v>4</v>
      </c>
      <c r="L44" t="s">
        <v>40</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85</v>
      </c>
      <c r="B45" t="s">
        <v>24</v>
      </c>
      <c r="C45">
        <v>3</v>
      </c>
      <c r="D45">
        <v>68.599999999999994</v>
      </c>
      <c r="E45">
        <v>205.79999999999998</v>
      </c>
      <c r="F45" s="1">
        <v>45659</v>
      </c>
      <c r="G45" s="1">
        <v>45659</v>
      </c>
      <c r="H45" t="s">
        <v>12</v>
      </c>
      <c r="I45" t="s">
        <v>3</v>
      </c>
      <c r="J45">
        <v>3</v>
      </c>
      <c r="K45" t="s">
        <v>4</v>
      </c>
      <c r="L45" t="s">
        <v>47</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86</v>
      </c>
      <c r="B46" t="s">
        <v>11</v>
      </c>
      <c r="C46">
        <v>4</v>
      </c>
      <c r="D46">
        <v>135.9</v>
      </c>
      <c r="E46">
        <v>543.6</v>
      </c>
      <c r="F46" s="1">
        <v>45659</v>
      </c>
      <c r="G46" s="1">
        <v>45660</v>
      </c>
      <c r="H46" t="s">
        <v>12</v>
      </c>
      <c r="I46" t="s">
        <v>25</v>
      </c>
      <c r="J46">
        <v>5</v>
      </c>
      <c r="K46" t="s">
        <v>4</v>
      </c>
      <c r="L46" t="s">
        <v>47</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87</v>
      </c>
      <c r="B47" t="s">
        <v>11</v>
      </c>
      <c r="C47">
        <v>4</v>
      </c>
      <c r="D47">
        <v>70.900000000000006</v>
      </c>
      <c r="E47">
        <v>283.60000000000002</v>
      </c>
      <c r="F47" s="1">
        <v>45659</v>
      </c>
      <c r="G47" s="1">
        <v>45660</v>
      </c>
      <c r="H47" t="s">
        <v>12</v>
      </c>
      <c r="I47" t="s">
        <v>3</v>
      </c>
      <c r="J47">
        <v>4</v>
      </c>
      <c r="K47" t="s">
        <v>4</v>
      </c>
      <c r="L47" t="s">
        <v>88</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89</v>
      </c>
      <c r="B48" t="s">
        <v>7</v>
      </c>
      <c r="C48">
        <v>5</v>
      </c>
      <c r="D48">
        <v>63.7</v>
      </c>
      <c r="E48">
        <v>318.5</v>
      </c>
      <c r="F48" s="1">
        <v>45659</v>
      </c>
      <c r="G48" s="1">
        <v>45660</v>
      </c>
      <c r="H48" t="s">
        <v>8</v>
      </c>
      <c r="I48" t="s">
        <v>20</v>
      </c>
      <c r="J48">
        <v>3</v>
      </c>
      <c r="K48" t="s">
        <v>4</v>
      </c>
      <c r="L48" t="s">
        <v>57</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90</v>
      </c>
      <c r="B49" t="s">
        <v>61</v>
      </c>
      <c r="C49">
        <v>1</v>
      </c>
      <c r="D49">
        <v>29.7</v>
      </c>
      <c r="E49">
        <v>29.7</v>
      </c>
      <c r="F49" s="1">
        <v>45659</v>
      </c>
      <c r="G49" s="1">
        <v>45661</v>
      </c>
      <c r="H49" t="s">
        <v>12</v>
      </c>
      <c r="I49" t="s">
        <v>20</v>
      </c>
      <c r="J49">
        <v>4</v>
      </c>
      <c r="K49" t="s">
        <v>4</v>
      </c>
      <c r="L49" t="s">
        <v>62</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91</v>
      </c>
      <c r="B50" t="s">
        <v>17</v>
      </c>
      <c r="C50">
        <v>3</v>
      </c>
      <c r="D50">
        <v>26.8</v>
      </c>
      <c r="E50">
        <v>80.400000000000006</v>
      </c>
      <c r="F50" s="1">
        <v>45659</v>
      </c>
      <c r="G50" s="1">
        <v>45668</v>
      </c>
      <c r="H50" t="s">
        <v>12</v>
      </c>
      <c r="I50" t="s">
        <v>20</v>
      </c>
      <c r="J50">
        <v>5</v>
      </c>
      <c r="K50" t="s">
        <v>4</v>
      </c>
      <c r="L50" t="s">
        <v>62</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92</v>
      </c>
      <c r="B51" t="s">
        <v>66</v>
      </c>
      <c r="C51">
        <v>1</v>
      </c>
      <c r="D51">
        <v>27</v>
      </c>
      <c r="E51">
        <v>27</v>
      </c>
      <c r="F51" s="1">
        <v>45659</v>
      </c>
      <c r="G51" s="1">
        <v>45661</v>
      </c>
      <c r="H51" t="s">
        <v>12</v>
      </c>
      <c r="I51" t="s">
        <v>3</v>
      </c>
      <c r="J51">
        <v>4</v>
      </c>
      <c r="K51" t="s">
        <v>4</v>
      </c>
      <c r="L51" t="s">
        <v>93</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94</v>
      </c>
      <c r="B52" t="s">
        <v>29</v>
      </c>
      <c r="C52">
        <v>1</v>
      </c>
      <c r="D52">
        <v>41.4</v>
      </c>
      <c r="E52">
        <v>41.4</v>
      </c>
      <c r="F52" s="1">
        <v>45659</v>
      </c>
      <c r="G52" s="1">
        <v>45660</v>
      </c>
      <c r="H52" t="s">
        <v>8</v>
      </c>
      <c r="I52" t="s">
        <v>20</v>
      </c>
      <c r="J52">
        <v>5</v>
      </c>
      <c r="K52" t="s">
        <v>4</v>
      </c>
      <c r="L52" t="s">
        <v>95</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96</v>
      </c>
      <c r="B53" t="s">
        <v>29</v>
      </c>
      <c r="C53">
        <v>2</v>
      </c>
      <c r="D53">
        <v>24.3</v>
      </c>
      <c r="E53">
        <v>48.6</v>
      </c>
      <c r="F53" s="1">
        <v>45659</v>
      </c>
      <c r="G53" s="1">
        <v>45662</v>
      </c>
      <c r="H53" t="s">
        <v>12</v>
      </c>
      <c r="I53" t="s">
        <v>20</v>
      </c>
      <c r="J53">
        <v>4</v>
      </c>
      <c r="K53" t="s">
        <v>4</v>
      </c>
      <c r="L53" t="s">
        <v>95</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97</v>
      </c>
      <c r="B54" t="s">
        <v>29</v>
      </c>
      <c r="C54">
        <v>3</v>
      </c>
      <c r="D54">
        <v>41.7</v>
      </c>
      <c r="E54">
        <v>125.10000000000001</v>
      </c>
      <c r="F54" s="1">
        <v>45659</v>
      </c>
      <c r="G54" s="1">
        <v>45661</v>
      </c>
      <c r="H54" t="s">
        <v>8</v>
      </c>
      <c r="I54" t="s">
        <v>3</v>
      </c>
      <c r="J54">
        <v>5</v>
      </c>
      <c r="K54" t="s">
        <v>4</v>
      </c>
      <c r="L54" t="s">
        <v>98</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99</v>
      </c>
      <c r="B55" t="s">
        <v>1</v>
      </c>
      <c r="C55">
        <v>2</v>
      </c>
      <c r="D55">
        <v>18</v>
      </c>
      <c r="E55">
        <v>36</v>
      </c>
      <c r="F55" s="1">
        <v>45659</v>
      </c>
      <c r="G55" s="1">
        <v>45660</v>
      </c>
      <c r="H55" t="s">
        <v>12</v>
      </c>
      <c r="I55" t="s">
        <v>3</v>
      </c>
      <c r="J55">
        <v>5</v>
      </c>
      <c r="K55" t="s">
        <v>4</v>
      </c>
      <c r="L55" t="s">
        <v>100</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101</v>
      </c>
      <c r="B56" t="s">
        <v>27</v>
      </c>
      <c r="C56">
        <v>3</v>
      </c>
      <c r="D56">
        <v>91.3</v>
      </c>
      <c r="E56">
        <v>273.89999999999998</v>
      </c>
      <c r="F56" s="1">
        <v>45659</v>
      </c>
      <c r="G56" s="1">
        <v>45662</v>
      </c>
      <c r="H56" t="s">
        <v>8</v>
      </c>
      <c r="I56" t="s">
        <v>25</v>
      </c>
      <c r="J56">
        <v>5</v>
      </c>
      <c r="K56" t="s">
        <v>4</v>
      </c>
      <c r="L56" t="s">
        <v>18</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102</v>
      </c>
      <c r="B57" t="s">
        <v>29</v>
      </c>
      <c r="C57">
        <v>8</v>
      </c>
      <c r="D57">
        <v>19.3</v>
      </c>
      <c r="E57">
        <v>154.4</v>
      </c>
      <c r="F57" s="1">
        <v>45659</v>
      </c>
      <c r="G57" s="1">
        <v>45660</v>
      </c>
      <c r="H57" t="s">
        <v>8</v>
      </c>
      <c r="I57" t="s">
        <v>3</v>
      </c>
      <c r="J57">
        <v>4</v>
      </c>
      <c r="K57" t="s">
        <v>4</v>
      </c>
      <c r="L57" t="s">
        <v>18</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103</v>
      </c>
      <c r="B58" t="s">
        <v>54</v>
      </c>
      <c r="C58">
        <v>13</v>
      </c>
      <c r="D58">
        <v>63.2</v>
      </c>
      <c r="E58">
        <v>821.6</v>
      </c>
      <c r="F58" s="1">
        <v>45659</v>
      </c>
      <c r="G58" s="1">
        <v>45660</v>
      </c>
      <c r="H58" t="s">
        <v>12</v>
      </c>
      <c r="I58" t="s">
        <v>3</v>
      </c>
      <c r="J58">
        <v>4</v>
      </c>
      <c r="K58" t="s">
        <v>4</v>
      </c>
      <c r="L58" t="s">
        <v>18</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104</v>
      </c>
      <c r="B59" t="s">
        <v>39</v>
      </c>
      <c r="C59">
        <v>9</v>
      </c>
      <c r="D59">
        <v>33.299999999999997</v>
      </c>
      <c r="E59">
        <v>299.7</v>
      </c>
      <c r="F59" s="1">
        <v>45660</v>
      </c>
      <c r="G59" s="1">
        <v>45668</v>
      </c>
      <c r="H59" t="s">
        <v>12</v>
      </c>
      <c r="I59" t="s">
        <v>3</v>
      </c>
      <c r="J59">
        <v>5</v>
      </c>
      <c r="K59" t="s">
        <v>4</v>
      </c>
      <c r="L59" t="s">
        <v>18</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105</v>
      </c>
      <c r="B60" t="s">
        <v>27</v>
      </c>
      <c r="C60">
        <v>2</v>
      </c>
      <c r="D60">
        <v>64.2</v>
      </c>
      <c r="E60">
        <v>128.4</v>
      </c>
      <c r="F60" s="1">
        <v>45660</v>
      </c>
      <c r="G60" s="1">
        <v>45661</v>
      </c>
      <c r="H60" t="s">
        <v>8</v>
      </c>
      <c r="I60" t="s">
        <v>3</v>
      </c>
      <c r="J60">
        <v>5</v>
      </c>
      <c r="K60" t="s">
        <v>4</v>
      </c>
      <c r="L60" t="s">
        <v>18</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106</v>
      </c>
      <c r="B61" t="s">
        <v>31</v>
      </c>
      <c r="C61">
        <v>3</v>
      </c>
      <c r="D61">
        <v>23.1</v>
      </c>
      <c r="E61">
        <v>69.300000000000011</v>
      </c>
      <c r="F61" s="1">
        <v>45660</v>
      </c>
      <c r="G61" s="1">
        <v>45663</v>
      </c>
      <c r="H61" t="s">
        <v>12</v>
      </c>
      <c r="I61" t="s">
        <v>20</v>
      </c>
      <c r="J61">
        <v>5</v>
      </c>
      <c r="K61" t="s">
        <v>4</v>
      </c>
      <c r="L61" t="s">
        <v>18</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107</v>
      </c>
      <c r="B62" t="s">
        <v>108</v>
      </c>
      <c r="C62">
        <v>2</v>
      </c>
      <c r="D62">
        <v>71.099999999999994</v>
      </c>
      <c r="E62">
        <v>142.19999999999999</v>
      </c>
      <c r="F62" s="1">
        <v>45660</v>
      </c>
      <c r="G62" s="1">
        <v>45662</v>
      </c>
      <c r="H62" t="s">
        <v>12</v>
      </c>
      <c r="I62" t="s">
        <v>36</v>
      </c>
      <c r="J62">
        <v>3</v>
      </c>
      <c r="K62" t="s">
        <v>4</v>
      </c>
      <c r="L62" t="s">
        <v>18</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109</v>
      </c>
      <c r="B63" t="s">
        <v>1</v>
      </c>
      <c r="C63">
        <v>2</v>
      </c>
      <c r="D63">
        <v>11.5</v>
      </c>
      <c r="E63">
        <v>23</v>
      </c>
      <c r="F63" s="1">
        <v>45660</v>
      </c>
      <c r="G63" s="1">
        <v>45661</v>
      </c>
      <c r="H63" t="s">
        <v>12</v>
      </c>
      <c r="I63" t="s">
        <v>3</v>
      </c>
      <c r="J63">
        <v>4</v>
      </c>
      <c r="K63" t="s">
        <v>4</v>
      </c>
      <c r="L63" t="s">
        <v>18</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110</v>
      </c>
      <c r="B64" t="s">
        <v>108</v>
      </c>
      <c r="C64">
        <v>19</v>
      </c>
      <c r="D64">
        <v>69.2</v>
      </c>
      <c r="E64">
        <v>1314.8</v>
      </c>
      <c r="F64" s="1">
        <v>45660</v>
      </c>
      <c r="G64" s="1">
        <v>45665</v>
      </c>
      <c r="H64" t="s">
        <v>12</v>
      </c>
      <c r="I64" t="s">
        <v>3</v>
      </c>
      <c r="J64">
        <v>4</v>
      </c>
      <c r="K64" t="s">
        <v>4</v>
      </c>
      <c r="L64" t="s">
        <v>18</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111</v>
      </c>
      <c r="B65" t="s">
        <v>1</v>
      </c>
      <c r="C65">
        <v>1</v>
      </c>
      <c r="D65">
        <v>26.8</v>
      </c>
      <c r="E65">
        <v>26.8</v>
      </c>
      <c r="F65" s="1">
        <v>45660</v>
      </c>
      <c r="G65" s="1">
        <v>45661</v>
      </c>
      <c r="H65" t="s">
        <v>8</v>
      </c>
      <c r="I65" t="s">
        <v>25</v>
      </c>
      <c r="J65">
        <v>2</v>
      </c>
      <c r="K65" t="s">
        <v>4</v>
      </c>
      <c r="L65" t="s">
        <v>18</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112</v>
      </c>
      <c r="B66" t="s">
        <v>113</v>
      </c>
      <c r="C66">
        <v>3</v>
      </c>
      <c r="D66">
        <v>31.2</v>
      </c>
      <c r="E66">
        <v>93.6</v>
      </c>
      <c r="F66" s="1">
        <v>45660</v>
      </c>
      <c r="G66" s="1">
        <v>45663</v>
      </c>
      <c r="H66" t="s">
        <v>12</v>
      </c>
      <c r="I66" t="s">
        <v>3</v>
      </c>
      <c r="J66">
        <v>4</v>
      </c>
      <c r="K66" t="s">
        <v>4</v>
      </c>
      <c r="L66" t="s">
        <v>18</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114</v>
      </c>
      <c r="B67" t="s">
        <v>54</v>
      </c>
      <c r="C67">
        <v>2</v>
      </c>
      <c r="D67">
        <v>113.2</v>
      </c>
      <c r="E67">
        <v>226.4</v>
      </c>
      <c r="F67" s="1">
        <v>45660</v>
      </c>
      <c r="G67" s="1">
        <v>45661</v>
      </c>
      <c r="H67" t="s">
        <v>12</v>
      </c>
      <c r="I67" t="s">
        <v>55</v>
      </c>
      <c r="J67">
        <v>4</v>
      </c>
      <c r="K67" t="s">
        <v>4</v>
      </c>
      <c r="L67" t="s">
        <v>18</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115</v>
      </c>
      <c r="B68" t="s">
        <v>39</v>
      </c>
      <c r="C68">
        <v>8</v>
      </c>
      <c r="D68">
        <v>21</v>
      </c>
      <c r="E68">
        <v>168</v>
      </c>
      <c r="F68" s="1">
        <v>45660</v>
      </c>
      <c r="G68" s="1">
        <v>45661</v>
      </c>
      <c r="H68" t="s">
        <v>8</v>
      </c>
      <c r="I68" t="s">
        <v>3</v>
      </c>
      <c r="J68">
        <v>4</v>
      </c>
      <c r="K68" t="s">
        <v>4</v>
      </c>
      <c r="L68" t="s">
        <v>40</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116</v>
      </c>
      <c r="B69" t="s">
        <v>7</v>
      </c>
      <c r="C69">
        <v>2</v>
      </c>
      <c r="D69">
        <v>89.1</v>
      </c>
      <c r="E69">
        <v>178.2</v>
      </c>
      <c r="F69" s="1">
        <v>45660</v>
      </c>
      <c r="G69" s="1">
        <v>45661</v>
      </c>
      <c r="H69" t="s">
        <v>12</v>
      </c>
      <c r="I69" t="s">
        <v>25</v>
      </c>
      <c r="J69">
        <v>5</v>
      </c>
      <c r="K69" t="s">
        <v>4</v>
      </c>
      <c r="L69" t="s">
        <v>40</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117</v>
      </c>
      <c r="B70" t="s">
        <v>7</v>
      </c>
      <c r="C70">
        <v>1</v>
      </c>
      <c r="D70">
        <v>97.7</v>
      </c>
      <c r="E70">
        <v>97.7</v>
      </c>
      <c r="F70" s="1">
        <v>45660</v>
      </c>
      <c r="G70" s="1">
        <v>45662</v>
      </c>
      <c r="H70" t="s">
        <v>12</v>
      </c>
      <c r="I70" t="s">
        <v>3</v>
      </c>
      <c r="J70">
        <v>3</v>
      </c>
      <c r="K70" t="s">
        <v>4</v>
      </c>
      <c r="L70" t="s">
        <v>40</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118</v>
      </c>
      <c r="B71" t="s">
        <v>108</v>
      </c>
      <c r="C71">
        <v>4</v>
      </c>
      <c r="D71">
        <v>97.7</v>
      </c>
      <c r="E71">
        <v>390.8</v>
      </c>
      <c r="F71" s="1">
        <v>45660</v>
      </c>
      <c r="G71" s="1">
        <v>45662</v>
      </c>
      <c r="H71" t="s">
        <v>8</v>
      </c>
      <c r="I71" t="s">
        <v>36</v>
      </c>
      <c r="J71">
        <v>4</v>
      </c>
      <c r="K71" t="s">
        <v>4</v>
      </c>
      <c r="L71" t="s">
        <v>40</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119</v>
      </c>
      <c r="B72" t="s">
        <v>120</v>
      </c>
      <c r="C72">
        <v>3</v>
      </c>
      <c r="D72">
        <v>47.4</v>
      </c>
      <c r="E72">
        <v>142.19999999999999</v>
      </c>
      <c r="F72" s="1">
        <v>45660</v>
      </c>
      <c r="G72" s="1">
        <v>45663</v>
      </c>
      <c r="H72" t="s">
        <v>8</v>
      </c>
      <c r="I72" t="s">
        <v>36</v>
      </c>
      <c r="J72">
        <v>5</v>
      </c>
      <c r="K72" t="s">
        <v>4</v>
      </c>
      <c r="L72" t="s">
        <v>47</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121</v>
      </c>
      <c r="B73" t="s">
        <v>27</v>
      </c>
      <c r="C73">
        <v>1</v>
      </c>
      <c r="D73">
        <v>89.6</v>
      </c>
      <c r="E73">
        <v>89.6</v>
      </c>
      <c r="F73" s="1">
        <v>45660</v>
      </c>
      <c r="G73" s="1">
        <v>45663</v>
      </c>
      <c r="H73" t="s">
        <v>12</v>
      </c>
      <c r="I73" t="s">
        <v>3</v>
      </c>
      <c r="J73">
        <v>5</v>
      </c>
      <c r="K73" t="s">
        <v>4</v>
      </c>
      <c r="L73" t="s">
        <v>47</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122</v>
      </c>
      <c r="B74" t="s">
        <v>39</v>
      </c>
      <c r="C74">
        <v>18</v>
      </c>
      <c r="D74">
        <v>28.4</v>
      </c>
      <c r="E74">
        <v>511.2</v>
      </c>
      <c r="F74" s="1">
        <v>45660</v>
      </c>
      <c r="G74" s="1">
        <v>45663</v>
      </c>
      <c r="H74" t="s">
        <v>12</v>
      </c>
      <c r="I74" t="s">
        <v>36</v>
      </c>
      <c r="J74">
        <v>5</v>
      </c>
      <c r="K74" t="s">
        <v>4</v>
      </c>
      <c r="L74" t="s">
        <v>88</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123</v>
      </c>
      <c r="B75" t="s">
        <v>1</v>
      </c>
      <c r="C75">
        <v>2</v>
      </c>
      <c r="D75">
        <v>17.899999999999999</v>
      </c>
      <c r="E75">
        <v>35.799999999999997</v>
      </c>
      <c r="F75" s="1">
        <v>45660</v>
      </c>
      <c r="G75" s="1">
        <v>45661</v>
      </c>
      <c r="H75" t="s">
        <v>12</v>
      </c>
      <c r="I75" t="s">
        <v>3</v>
      </c>
      <c r="J75">
        <v>5</v>
      </c>
      <c r="K75" t="s">
        <v>4</v>
      </c>
      <c r="L75" t="s">
        <v>57</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124</v>
      </c>
      <c r="B76" t="s">
        <v>31</v>
      </c>
      <c r="C76">
        <v>2</v>
      </c>
      <c r="D76">
        <v>48.4</v>
      </c>
      <c r="E76">
        <v>96.8</v>
      </c>
      <c r="F76" s="1">
        <v>45660</v>
      </c>
      <c r="G76" s="1">
        <v>45663</v>
      </c>
      <c r="H76" t="s">
        <v>8</v>
      </c>
      <c r="I76" t="s">
        <v>20</v>
      </c>
      <c r="J76">
        <v>4</v>
      </c>
      <c r="K76" t="s">
        <v>4</v>
      </c>
      <c r="L76" t="s">
        <v>57</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125</v>
      </c>
      <c r="B77" t="s">
        <v>54</v>
      </c>
      <c r="C77">
        <v>4</v>
      </c>
      <c r="D77">
        <v>44.4</v>
      </c>
      <c r="E77">
        <v>177.6</v>
      </c>
      <c r="F77" s="1">
        <v>45660</v>
      </c>
      <c r="G77" s="1">
        <v>45661</v>
      </c>
      <c r="H77" t="s">
        <v>74</v>
      </c>
      <c r="I77" t="s">
        <v>20</v>
      </c>
      <c r="J77">
        <v>3</v>
      </c>
      <c r="K77" t="s">
        <v>4</v>
      </c>
      <c r="L77" t="s">
        <v>62</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126</v>
      </c>
      <c r="B78" t="s">
        <v>11</v>
      </c>
      <c r="C78">
        <v>8</v>
      </c>
      <c r="D78">
        <v>103.7</v>
      </c>
      <c r="E78">
        <v>829.6</v>
      </c>
      <c r="F78" s="1">
        <v>45660</v>
      </c>
      <c r="G78" s="1">
        <v>45661</v>
      </c>
      <c r="H78" t="s">
        <v>12</v>
      </c>
      <c r="I78" t="s">
        <v>3</v>
      </c>
      <c r="J78">
        <v>3</v>
      </c>
      <c r="K78" t="s">
        <v>4</v>
      </c>
      <c r="L78" t="s">
        <v>95</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127</v>
      </c>
      <c r="B79" t="s">
        <v>22</v>
      </c>
      <c r="C79">
        <v>4</v>
      </c>
      <c r="D79">
        <v>58.6</v>
      </c>
      <c r="E79">
        <v>234.4</v>
      </c>
      <c r="F79" s="1">
        <v>45660</v>
      </c>
      <c r="G79" s="1">
        <v>45662</v>
      </c>
      <c r="H79" t="s">
        <v>8</v>
      </c>
      <c r="I79" t="s">
        <v>36</v>
      </c>
      <c r="J79">
        <v>4</v>
      </c>
      <c r="K79" t="s">
        <v>4</v>
      </c>
      <c r="L79" t="s">
        <v>95</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128</v>
      </c>
      <c r="B80" t="s">
        <v>31</v>
      </c>
      <c r="C80">
        <v>4</v>
      </c>
      <c r="D80">
        <v>54.8</v>
      </c>
      <c r="E80">
        <v>219.2</v>
      </c>
      <c r="F80" s="1">
        <v>45660</v>
      </c>
      <c r="G80" s="1">
        <v>45664</v>
      </c>
      <c r="H80" t="s">
        <v>12</v>
      </c>
      <c r="I80" t="s">
        <v>25</v>
      </c>
      <c r="J80">
        <v>3</v>
      </c>
      <c r="K80" t="s">
        <v>4</v>
      </c>
      <c r="L80" t="s">
        <v>67</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129</v>
      </c>
      <c r="B81" t="s">
        <v>54</v>
      </c>
      <c r="C81">
        <v>3</v>
      </c>
      <c r="D81">
        <v>78.8</v>
      </c>
      <c r="E81">
        <v>236.39999999999998</v>
      </c>
      <c r="F81" s="1">
        <v>45660</v>
      </c>
      <c r="G81" s="1">
        <v>45666</v>
      </c>
      <c r="H81" t="s">
        <v>12</v>
      </c>
      <c r="I81" t="s">
        <v>55</v>
      </c>
      <c r="J81">
        <v>3</v>
      </c>
      <c r="K81" t="s">
        <v>4</v>
      </c>
      <c r="L81" t="s">
        <v>100</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130</v>
      </c>
      <c r="B82" t="s">
        <v>131</v>
      </c>
      <c r="C82">
        <v>5</v>
      </c>
      <c r="D82">
        <v>36.799999999999997</v>
      </c>
      <c r="E82">
        <v>184</v>
      </c>
      <c r="F82" s="1">
        <v>45660</v>
      </c>
      <c r="G82" s="1">
        <v>45663</v>
      </c>
      <c r="H82" t="s">
        <v>8</v>
      </c>
      <c r="I82" t="s">
        <v>55</v>
      </c>
      <c r="J82">
        <v>3</v>
      </c>
      <c r="K82" t="s">
        <v>4</v>
      </c>
      <c r="L82" t="s">
        <v>132</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133</v>
      </c>
      <c r="B83" t="s">
        <v>24</v>
      </c>
      <c r="C83">
        <v>6</v>
      </c>
      <c r="D83">
        <v>50.6</v>
      </c>
      <c r="E83">
        <v>303.60000000000002</v>
      </c>
      <c r="F83" s="1">
        <v>45660</v>
      </c>
      <c r="G83" s="1">
        <v>45662</v>
      </c>
      <c r="H83" t="s">
        <v>12</v>
      </c>
      <c r="I83" t="s">
        <v>36</v>
      </c>
      <c r="J83">
        <v>4</v>
      </c>
      <c r="K83" t="s">
        <v>4</v>
      </c>
      <c r="L83" t="s">
        <v>18</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134</v>
      </c>
      <c r="B84" t="s">
        <v>108</v>
      </c>
      <c r="C84">
        <v>3</v>
      </c>
      <c r="D84">
        <v>36.799999999999997</v>
      </c>
      <c r="E84">
        <v>110.39999999999999</v>
      </c>
      <c r="F84" s="1">
        <v>45660</v>
      </c>
      <c r="G84" s="1">
        <v>45660</v>
      </c>
      <c r="H84" t="s">
        <v>8</v>
      </c>
      <c r="I84" t="s">
        <v>25</v>
      </c>
      <c r="J84">
        <v>3</v>
      </c>
      <c r="K84" t="s">
        <v>4</v>
      </c>
      <c r="L84" t="s">
        <v>18</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135</v>
      </c>
      <c r="B85" t="s">
        <v>29</v>
      </c>
      <c r="C85">
        <v>9</v>
      </c>
      <c r="D85">
        <v>41.8</v>
      </c>
      <c r="E85">
        <v>376.2</v>
      </c>
      <c r="F85" s="1">
        <v>45661</v>
      </c>
      <c r="G85" s="1">
        <v>45667</v>
      </c>
      <c r="H85" t="s">
        <v>12</v>
      </c>
      <c r="I85" t="s">
        <v>36</v>
      </c>
      <c r="J85">
        <v>4</v>
      </c>
      <c r="K85" t="s">
        <v>4</v>
      </c>
      <c r="L85" t="s">
        <v>18</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136</v>
      </c>
      <c r="B86" t="s">
        <v>131</v>
      </c>
      <c r="C86">
        <v>1</v>
      </c>
      <c r="D86">
        <v>77.3</v>
      </c>
      <c r="E86">
        <v>77.3</v>
      </c>
      <c r="F86" s="1">
        <v>45661</v>
      </c>
      <c r="G86" s="1">
        <v>45662</v>
      </c>
      <c r="H86" t="s">
        <v>8</v>
      </c>
      <c r="I86" t="s">
        <v>55</v>
      </c>
      <c r="J86">
        <v>2</v>
      </c>
      <c r="K86" t="s">
        <v>4</v>
      </c>
      <c r="L86" t="s">
        <v>18</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137</v>
      </c>
      <c r="B87" t="s">
        <v>29</v>
      </c>
      <c r="C87">
        <v>4</v>
      </c>
      <c r="D87">
        <v>19.8</v>
      </c>
      <c r="E87">
        <v>79.2</v>
      </c>
      <c r="F87" s="1">
        <v>45661</v>
      </c>
      <c r="G87" s="1">
        <v>45667</v>
      </c>
      <c r="H87" t="s">
        <v>8</v>
      </c>
      <c r="I87" t="s">
        <v>20</v>
      </c>
      <c r="J87">
        <v>5</v>
      </c>
      <c r="K87" t="s">
        <v>4</v>
      </c>
      <c r="L87" t="s">
        <v>18</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138</v>
      </c>
      <c r="B88" t="s">
        <v>61</v>
      </c>
      <c r="C88">
        <v>4</v>
      </c>
      <c r="D88">
        <v>15.5</v>
      </c>
      <c r="E88">
        <v>62</v>
      </c>
      <c r="F88" s="1">
        <v>45661</v>
      </c>
      <c r="G88" s="1">
        <v>45662</v>
      </c>
      <c r="H88" t="s">
        <v>12</v>
      </c>
      <c r="I88" t="s">
        <v>20</v>
      </c>
      <c r="J88">
        <v>5</v>
      </c>
      <c r="K88" t="s">
        <v>4</v>
      </c>
      <c r="L88" t="s">
        <v>18</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139</v>
      </c>
      <c r="B89" t="s">
        <v>54</v>
      </c>
      <c r="C89">
        <v>1</v>
      </c>
      <c r="D89">
        <v>46.8</v>
      </c>
      <c r="E89">
        <v>46.8</v>
      </c>
      <c r="F89" s="1">
        <v>45661</v>
      </c>
      <c r="G89" s="1">
        <v>45665</v>
      </c>
      <c r="H89" t="s">
        <v>8</v>
      </c>
      <c r="I89" t="s">
        <v>3</v>
      </c>
      <c r="J89">
        <v>5</v>
      </c>
      <c r="K89" t="s">
        <v>4</v>
      </c>
      <c r="L89" t="s">
        <v>18</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140</v>
      </c>
      <c r="B90" t="s">
        <v>31</v>
      </c>
      <c r="C90">
        <v>9</v>
      </c>
      <c r="D90">
        <v>28.6</v>
      </c>
      <c r="E90">
        <v>257.40000000000003</v>
      </c>
      <c r="F90" s="1">
        <v>45661</v>
      </c>
      <c r="G90" s="1">
        <v>45665</v>
      </c>
      <c r="H90" t="s">
        <v>8</v>
      </c>
      <c r="I90" t="s">
        <v>3</v>
      </c>
      <c r="J90">
        <v>5</v>
      </c>
      <c r="K90" t="s">
        <v>4</v>
      </c>
      <c r="L90" t="s">
        <v>18</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141</v>
      </c>
      <c r="B91" t="s">
        <v>11</v>
      </c>
      <c r="C91">
        <v>1</v>
      </c>
      <c r="D91">
        <v>97.7</v>
      </c>
      <c r="E91">
        <v>97.7</v>
      </c>
      <c r="F91" s="1">
        <v>45661</v>
      </c>
      <c r="G91" s="1">
        <v>45664</v>
      </c>
      <c r="H91" t="s">
        <v>12</v>
      </c>
      <c r="I91" t="s">
        <v>20</v>
      </c>
      <c r="J91">
        <v>4</v>
      </c>
      <c r="K91" t="s">
        <v>4</v>
      </c>
      <c r="L91" t="s">
        <v>18</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142</v>
      </c>
      <c r="B92" t="s">
        <v>31</v>
      </c>
      <c r="C92">
        <v>5</v>
      </c>
      <c r="D92">
        <v>54.7</v>
      </c>
      <c r="E92">
        <v>273.5</v>
      </c>
      <c r="F92" s="1">
        <v>45661</v>
      </c>
      <c r="G92" s="1">
        <v>45664</v>
      </c>
      <c r="H92" t="s">
        <v>2</v>
      </c>
      <c r="I92" t="s">
        <v>3</v>
      </c>
      <c r="J92">
        <v>5</v>
      </c>
      <c r="K92" t="s">
        <v>4</v>
      </c>
      <c r="L92" t="s">
        <v>143</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144</v>
      </c>
      <c r="B93" t="s">
        <v>11</v>
      </c>
      <c r="C93">
        <v>6</v>
      </c>
      <c r="D93">
        <v>130.5</v>
      </c>
      <c r="E93">
        <v>783</v>
      </c>
      <c r="F93" s="1">
        <v>45661</v>
      </c>
      <c r="G93" s="1">
        <v>45663</v>
      </c>
      <c r="H93" t="s">
        <v>12</v>
      </c>
      <c r="I93" t="s">
        <v>3</v>
      </c>
      <c r="J93">
        <v>3</v>
      </c>
      <c r="K93" t="s">
        <v>4</v>
      </c>
      <c r="L93" t="s">
        <v>143</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145</v>
      </c>
      <c r="B94" t="s">
        <v>52</v>
      </c>
      <c r="C94">
        <v>2</v>
      </c>
      <c r="D94">
        <v>50.4</v>
      </c>
      <c r="E94">
        <v>100.8</v>
      </c>
      <c r="F94" s="1">
        <v>45661</v>
      </c>
      <c r="G94" s="1">
        <v>45663</v>
      </c>
      <c r="H94" t="s">
        <v>8</v>
      </c>
      <c r="I94" t="s">
        <v>25</v>
      </c>
      <c r="J94">
        <v>5</v>
      </c>
      <c r="K94" t="s">
        <v>4</v>
      </c>
      <c r="L94" t="s">
        <v>40</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146</v>
      </c>
      <c r="B95" t="s">
        <v>24</v>
      </c>
      <c r="C95">
        <v>13</v>
      </c>
      <c r="D95">
        <v>61.5</v>
      </c>
      <c r="E95">
        <v>799.5</v>
      </c>
      <c r="F95" s="1">
        <v>45661</v>
      </c>
      <c r="G95" s="1">
        <v>45662</v>
      </c>
      <c r="H95" t="s">
        <v>2</v>
      </c>
      <c r="I95" t="s">
        <v>36</v>
      </c>
      <c r="J95">
        <v>3</v>
      </c>
      <c r="K95" t="s">
        <v>4</v>
      </c>
      <c r="L95" t="s">
        <v>62</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147</v>
      </c>
      <c r="B96" t="s">
        <v>31</v>
      </c>
      <c r="C96">
        <v>4</v>
      </c>
      <c r="D96">
        <v>30.1</v>
      </c>
      <c r="E96">
        <v>120.4</v>
      </c>
      <c r="F96" s="1">
        <v>45661</v>
      </c>
      <c r="G96" s="1">
        <v>45662</v>
      </c>
      <c r="H96" t="s">
        <v>12</v>
      </c>
      <c r="I96" t="s">
        <v>3</v>
      </c>
      <c r="J96">
        <v>5</v>
      </c>
      <c r="K96" t="s">
        <v>4</v>
      </c>
      <c r="L96" t="s">
        <v>100</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148</v>
      </c>
      <c r="B97" t="s">
        <v>11</v>
      </c>
      <c r="C97">
        <v>5</v>
      </c>
      <c r="D97">
        <v>74.8</v>
      </c>
      <c r="E97">
        <v>374</v>
      </c>
      <c r="F97" s="1">
        <v>45661</v>
      </c>
      <c r="G97" s="1">
        <v>45662</v>
      </c>
      <c r="H97" t="s">
        <v>12</v>
      </c>
      <c r="I97" t="s">
        <v>20</v>
      </c>
      <c r="J97">
        <v>4</v>
      </c>
      <c r="K97" t="s">
        <v>4</v>
      </c>
      <c r="L97" t="s">
        <v>9</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149</v>
      </c>
      <c r="B98" t="s">
        <v>113</v>
      </c>
      <c r="C98">
        <v>3</v>
      </c>
      <c r="D98">
        <v>64.900000000000006</v>
      </c>
      <c r="E98">
        <v>194.70000000000002</v>
      </c>
      <c r="F98" s="1">
        <v>45661</v>
      </c>
      <c r="G98" s="1">
        <v>45668</v>
      </c>
      <c r="H98" t="s">
        <v>8</v>
      </c>
      <c r="I98" t="s">
        <v>3</v>
      </c>
      <c r="J98">
        <v>4</v>
      </c>
      <c r="K98" t="s">
        <v>4</v>
      </c>
      <c r="L98" t="s">
        <v>13</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150</v>
      </c>
      <c r="B99" t="s">
        <v>31</v>
      </c>
      <c r="C99">
        <v>2</v>
      </c>
      <c r="D99">
        <v>50.5</v>
      </c>
      <c r="E99">
        <v>101</v>
      </c>
      <c r="F99" s="1">
        <v>45661</v>
      </c>
      <c r="G99" s="1">
        <v>45663</v>
      </c>
      <c r="H99" t="s">
        <v>8</v>
      </c>
      <c r="I99" t="s">
        <v>20</v>
      </c>
      <c r="J99">
        <v>4</v>
      </c>
      <c r="K99" t="s">
        <v>4</v>
      </c>
      <c r="L99" t="s">
        <v>132</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151</v>
      </c>
      <c r="B100" t="s">
        <v>52</v>
      </c>
      <c r="C100">
        <v>7</v>
      </c>
      <c r="D100">
        <v>63</v>
      </c>
      <c r="E100">
        <v>441</v>
      </c>
      <c r="F100" s="1">
        <v>45661</v>
      </c>
      <c r="G100" s="1">
        <v>45664</v>
      </c>
      <c r="H100" t="s">
        <v>8</v>
      </c>
      <c r="I100" t="s">
        <v>36</v>
      </c>
      <c r="J100">
        <v>5</v>
      </c>
      <c r="K100" t="s">
        <v>4</v>
      </c>
      <c r="L100" t="s">
        <v>18</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152</v>
      </c>
      <c r="B101" t="s">
        <v>11</v>
      </c>
      <c r="C101">
        <v>3</v>
      </c>
      <c r="D101">
        <v>93.6</v>
      </c>
      <c r="E101">
        <v>280.79999999999995</v>
      </c>
      <c r="F101" s="1">
        <v>45661</v>
      </c>
      <c r="G101" s="1">
        <v>45674</v>
      </c>
      <c r="H101" t="s">
        <v>12</v>
      </c>
      <c r="I101" t="s">
        <v>3</v>
      </c>
      <c r="J101">
        <v>5</v>
      </c>
      <c r="K101" t="s">
        <v>4</v>
      </c>
      <c r="L101" t="s">
        <v>18</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153</v>
      </c>
      <c r="B102" t="s">
        <v>22</v>
      </c>
      <c r="C102">
        <v>30</v>
      </c>
      <c r="D102">
        <v>41.4</v>
      </c>
      <c r="E102">
        <v>1242</v>
      </c>
      <c r="F102" s="1">
        <v>45661</v>
      </c>
      <c r="G102" s="1">
        <v>45665</v>
      </c>
      <c r="H102" t="s">
        <v>8</v>
      </c>
      <c r="I102" t="s">
        <v>25</v>
      </c>
      <c r="J102">
        <v>5</v>
      </c>
      <c r="K102" t="s">
        <v>4</v>
      </c>
      <c r="L102" t="s">
        <v>18</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154</v>
      </c>
      <c r="B103" t="s">
        <v>11</v>
      </c>
      <c r="C103">
        <v>2</v>
      </c>
      <c r="D103">
        <v>160</v>
      </c>
      <c r="E103">
        <v>320</v>
      </c>
      <c r="F103" s="1">
        <v>45662</v>
      </c>
      <c r="G103" s="1">
        <v>45663</v>
      </c>
      <c r="H103" t="s">
        <v>8</v>
      </c>
      <c r="I103" t="s">
        <v>25</v>
      </c>
      <c r="J103">
        <v>5</v>
      </c>
      <c r="K103" t="s">
        <v>4</v>
      </c>
      <c r="L103" t="s">
        <v>37</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155</v>
      </c>
      <c r="B104" t="s">
        <v>156</v>
      </c>
      <c r="C104">
        <v>11</v>
      </c>
      <c r="D104">
        <v>10.5</v>
      </c>
      <c r="E104">
        <v>115.5</v>
      </c>
      <c r="F104" s="1">
        <v>45662</v>
      </c>
      <c r="G104" s="1">
        <v>45665</v>
      </c>
      <c r="H104" t="s">
        <v>12</v>
      </c>
      <c r="I104" t="s">
        <v>55</v>
      </c>
      <c r="J104">
        <v>4</v>
      </c>
      <c r="K104" t="s">
        <v>4</v>
      </c>
      <c r="L104" t="s">
        <v>47</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157</v>
      </c>
      <c r="B105" t="s">
        <v>39</v>
      </c>
      <c r="C105">
        <v>2</v>
      </c>
      <c r="D105">
        <v>53</v>
      </c>
      <c r="E105">
        <v>106</v>
      </c>
      <c r="F105" s="1">
        <v>45662</v>
      </c>
      <c r="G105" s="1">
        <v>45662</v>
      </c>
      <c r="H105" t="s">
        <v>8</v>
      </c>
      <c r="I105" t="s">
        <v>25</v>
      </c>
      <c r="J105">
        <v>2</v>
      </c>
      <c r="K105" t="s">
        <v>4</v>
      </c>
      <c r="L105" t="s">
        <v>88</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158</v>
      </c>
      <c r="B106" t="s">
        <v>29</v>
      </c>
      <c r="C106">
        <v>3</v>
      </c>
      <c r="D106">
        <v>18.5</v>
      </c>
      <c r="E106">
        <v>55.5</v>
      </c>
      <c r="F106" s="1">
        <v>45662</v>
      </c>
      <c r="G106" s="1">
        <v>45667</v>
      </c>
      <c r="H106" t="s">
        <v>12</v>
      </c>
      <c r="I106" t="s">
        <v>20</v>
      </c>
      <c r="J106">
        <v>5</v>
      </c>
      <c r="K106" t="s">
        <v>4</v>
      </c>
      <c r="L106" t="s">
        <v>62</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159</v>
      </c>
      <c r="B107" t="s">
        <v>113</v>
      </c>
      <c r="C107">
        <v>3</v>
      </c>
      <c r="D107">
        <v>84.5</v>
      </c>
      <c r="E107">
        <v>253.5</v>
      </c>
      <c r="F107" s="1">
        <v>45662</v>
      </c>
      <c r="G107" s="1">
        <v>45664</v>
      </c>
      <c r="H107" t="s">
        <v>12</v>
      </c>
      <c r="I107" t="s">
        <v>55</v>
      </c>
      <c r="J107">
        <v>3</v>
      </c>
      <c r="K107" t="s">
        <v>4</v>
      </c>
      <c r="L107" t="s">
        <v>67</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160</v>
      </c>
      <c r="B108" t="s">
        <v>108</v>
      </c>
      <c r="C108">
        <v>7</v>
      </c>
      <c r="D108">
        <v>31.2</v>
      </c>
      <c r="E108">
        <v>218.4</v>
      </c>
      <c r="F108" s="1">
        <v>45662</v>
      </c>
      <c r="G108" s="1">
        <v>45662</v>
      </c>
      <c r="H108" t="s">
        <v>12</v>
      </c>
      <c r="I108" t="s">
        <v>25</v>
      </c>
      <c r="J108">
        <v>5</v>
      </c>
      <c r="K108" t="s">
        <v>4</v>
      </c>
      <c r="L108" t="s">
        <v>18</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161</v>
      </c>
      <c r="B109" t="s">
        <v>29</v>
      </c>
      <c r="C109">
        <v>18</v>
      </c>
      <c r="D109">
        <v>32.6</v>
      </c>
      <c r="E109">
        <v>586.80000000000007</v>
      </c>
      <c r="F109" s="1">
        <v>45662</v>
      </c>
      <c r="G109" s="1">
        <v>45663</v>
      </c>
      <c r="H109" t="s">
        <v>8</v>
      </c>
      <c r="I109" t="s">
        <v>20</v>
      </c>
      <c r="J109">
        <v>3</v>
      </c>
      <c r="K109" t="s">
        <v>4</v>
      </c>
      <c r="L109" t="s">
        <v>18</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162</v>
      </c>
      <c r="B110" t="s">
        <v>39</v>
      </c>
      <c r="C110">
        <v>4</v>
      </c>
      <c r="D110">
        <v>45.4</v>
      </c>
      <c r="E110">
        <v>181.6</v>
      </c>
      <c r="F110" s="1">
        <v>45662</v>
      </c>
      <c r="G110" s="1">
        <v>45664</v>
      </c>
      <c r="H110" t="s">
        <v>8</v>
      </c>
      <c r="I110" t="s">
        <v>20</v>
      </c>
      <c r="J110">
        <v>4</v>
      </c>
      <c r="K110" t="s">
        <v>4</v>
      </c>
      <c r="L110" t="s">
        <v>18</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163</v>
      </c>
      <c r="B111" t="s">
        <v>11</v>
      </c>
      <c r="C111">
        <v>12</v>
      </c>
      <c r="D111">
        <v>120</v>
      </c>
      <c r="E111">
        <v>1440</v>
      </c>
      <c r="F111" s="1">
        <v>45662</v>
      </c>
      <c r="G111" s="1">
        <v>45663</v>
      </c>
      <c r="H111" t="s">
        <v>12</v>
      </c>
      <c r="I111" t="s">
        <v>25</v>
      </c>
      <c r="J111">
        <v>2</v>
      </c>
      <c r="K111" t="s">
        <v>4</v>
      </c>
      <c r="L111" t="s">
        <v>18</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164</v>
      </c>
      <c r="B112" t="s">
        <v>1</v>
      </c>
      <c r="C112">
        <v>4</v>
      </c>
      <c r="D112">
        <v>18.899999999999999</v>
      </c>
      <c r="E112">
        <v>75.599999999999994</v>
      </c>
      <c r="F112" s="1">
        <v>45662</v>
      </c>
      <c r="G112" s="1">
        <v>45664</v>
      </c>
      <c r="H112" t="s">
        <v>8</v>
      </c>
      <c r="I112" t="s">
        <v>3</v>
      </c>
      <c r="J112">
        <v>5</v>
      </c>
      <c r="K112" t="s">
        <v>4</v>
      </c>
      <c r="L112" t="s">
        <v>18</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165</v>
      </c>
      <c r="B113" t="s">
        <v>17</v>
      </c>
      <c r="C113">
        <v>1</v>
      </c>
      <c r="D113">
        <v>32</v>
      </c>
      <c r="E113">
        <v>32</v>
      </c>
      <c r="F113" s="1">
        <v>45662</v>
      </c>
      <c r="G113" s="1">
        <v>45664</v>
      </c>
      <c r="H113" t="s">
        <v>12</v>
      </c>
      <c r="I113" t="s">
        <v>55</v>
      </c>
      <c r="J113">
        <v>4</v>
      </c>
      <c r="K113" t="s">
        <v>4</v>
      </c>
      <c r="L113" t="s">
        <v>18</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166</v>
      </c>
      <c r="B114" t="s">
        <v>27</v>
      </c>
      <c r="C114">
        <v>2</v>
      </c>
      <c r="D114">
        <v>37.299999999999997</v>
      </c>
      <c r="E114">
        <v>74.599999999999994</v>
      </c>
      <c r="F114" s="1">
        <v>45662</v>
      </c>
      <c r="G114" s="1">
        <v>45663</v>
      </c>
      <c r="H114" t="s">
        <v>8</v>
      </c>
      <c r="I114" t="s">
        <v>25</v>
      </c>
      <c r="J114">
        <v>4</v>
      </c>
      <c r="K114" t="s">
        <v>4</v>
      </c>
      <c r="L114" t="s">
        <v>18</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167</v>
      </c>
      <c r="B115" t="s">
        <v>131</v>
      </c>
      <c r="C115">
        <v>1</v>
      </c>
      <c r="D115">
        <v>119.8</v>
      </c>
      <c r="E115">
        <v>119.8</v>
      </c>
      <c r="F115" s="1">
        <v>45662</v>
      </c>
      <c r="G115" s="1">
        <v>45663</v>
      </c>
      <c r="H115" t="s">
        <v>8</v>
      </c>
      <c r="I115" t="s">
        <v>20</v>
      </c>
      <c r="J115">
        <v>3</v>
      </c>
      <c r="K115" t="s">
        <v>4</v>
      </c>
      <c r="L115" t="s">
        <v>18</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168</v>
      </c>
      <c r="B116" t="s">
        <v>39</v>
      </c>
      <c r="C116">
        <v>2</v>
      </c>
      <c r="D116">
        <v>26.4</v>
      </c>
      <c r="E116">
        <v>52.8</v>
      </c>
      <c r="F116" s="1">
        <v>45662</v>
      </c>
      <c r="G116" s="1">
        <v>45665</v>
      </c>
      <c r="H116" t="s">
        <v>8</v>
      </c>
      <c r="I116" t="s">
        <v>25</v>
      </c>
      <c r="J116">
        <v>4</v>
      </c>
      <c r="K116" t="s">
        <v>4</v>
      </c>
      <c r="L116" t="s">
        <v>18</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169</v>
      </c>
      <c r="B117" t="s">
        <v>24</v>
      </c>
      <c r="C117">
        <v>6</v>
      </c>
      <c r="D117">
        <v>76.5</v>
      </c>
      <c r="E117">
        <v>459</v>
      </c>
      <c r="F117" s="1">
        <v>45662</v>
      </c>
      <c r="G117" s="1">
        <v>45663</v>
      </c>
      <c r="H117" t="s">
        <v>12</v>
      </c>
      <c r="I117" t="s">
        <v>20</v>
      </c>
      <c r="J117">
        <v>3</v>
      </c>
      <c r="K117" t="s">
        <v>4</v>
      </c>
      <c r="L117" t="s">
        <v>18</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170</v>
      </c>
      <c r="B118" t="s">
        <v>17</v>
      </c>
      <c r="C118">
        <v>10</v>
      </c>
      <c r="D118">
        <v>45.7</v>
      </c>
      <c r="E118">
        <v>457</v>
      </c>
      <c r="F118" s="1">
        <v>45662</v>
      </c>
      <c r="G118" s="1">
        <v>45663</v>
      </c>
      <c r="H118" t="s">
        <v>12</v>
      </c>
      <c r="I118" t="s">
        <v>25</v>
      </c>
      <c r="J118">
        <v>4</v>
      </c>
      <c r="K118" t="s">
        <v>4</v>
      </c>
      <c r="L118" t="s">
        <v>171</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172</v>
      </c>
      <c r="B119" t="s">
        <v>7</v>
      </c>
      <c r="C119">
        <v>12</v>
      </c>
      <c r="D119">
        <v>92.6</v>
      </c>
      <c r="E119">
        <v>1111.1999999999998</v>
      </c>
      <c r="F119" s="1">
        <v>45662</v>
      </c>
      <c r="G119" s="1">
        <v>45664</v>
      </c>
      <c r="H119" t="s">
        <v>12</v>
      </c>
      <c r="I119" t="s">
        <v>25</v>
      </c>
      <c r="J119">
        <v>4</v>
      </c>
      <c r="K119" t="s">
        <v>4</v>
      </c>
      <c r="L119" t="s">
        <v>173</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174</v>
      </c>
      <c r="B120" t="s">
        <v>24</v>
      </c>
      <c r="C120">
        <v>6</v>
      </c>
      <c r="D120">
        <v>60.1</v>
      </c>
      <c r="E120">
        <v>360.6</v>
      </c>
      <c r="F120" s="1">
        <v>45662</v>
      </c>
      <c r="G120" s="1">
        <v>45663</v>
      </c>
      <c r="H120" t="s">
        <v>8</v>
      </c>
      <c r="I120" t="s">
        <v>20</v>
      </c>
      <c r="J120">
        <v>4</v>
      </c>
      <c r="K120" t="s">
        <v>4</v>
      </c>
      <c r="L120" t="s">
        <v>143</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175</v>
      </c>
      <c r="B121" t="s">
        <v>7</v>
      </c>
      <c r="C121">
        <v>3</v>
      </c>
      <c r="D121">
        <v>73</v>
      </c>
      <c r="E121">
        <v>219</v>
      </c>
      <c r="F121" s="1">
        <v>45662</v>
      </c>
      <c r="G121" s="1">
        <v>45663</v>
      </c>
      <c r="H121" t="s">
        <v>12</v>
      </c>
      <c r="I121" t="s">
        <v>36</v>
      </c>
      <c r="J121">
        <v>3</v>
      </c>
      <c r="K121" t="s">
        <v>4</v>
      </c>
      <c r="L121" t="s">
        <v>40</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176</v>
      </c>
      <c r="B122" t="s">
        <v>24</v>
      </c>
      <c r="C122">
        <v>3</v>
      </c>
      <c r="D122">
        <v>44.3</v>
      </c>
      <c r="E122">
        <v>132.89999999999998</v>
      </c>
      <c r="F122" s="1">
        <v>45662</v>
      </c>
      <c r="G122" s="1">
        <v>45666</v>
      </c>
      <c r="H122" t="s">
        <v>2</v>
      </c>
      <c r="I122" t="s">
        <v>25</v>
      </c>
      <c r="J122">
        <v>5</v>
      </c>
      <c r="K122" t="s">
        <v>4</v>
      </c>
      <c r="L122" t="s">
        <v>40</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177</v>
      </c>
      <c r="B123" t="s">
        <v>24</v>
      </c>
      <c r="C123">
        <v>3</v>
      </c>
      <c r="D123">
        <v>63.3</v>
      </c>
      <c r="E123">
        <v>189.89999999999998</v>
      </c>
      <c r="F123" s="1">
        <v>45662</v>
      </c>
      <c r="G123" s="1">
        <v>45663</v>
      </c>
      <c r="H123" t="s">
        <v>8</v>
      </c>
      <c r="I123" t="s">
        <v>25</v>
      </c>
      <c r="J123">
        <v>4</v>
      </c>
      <c r="K123" t="s">
        <v>4</v>
      </c>
      <c r="L123" t="s">
        <v>40</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178</v>
      </c>
      <c r="B124" t="s">
        <v>54</v>
      </c>
      <c r="C124">
        <v>1</v>
      </c>
      <c r="D124">
        <v>66.8</v>
      </c>
      <c r="E124">
        <v>66.8</v>
      </c>
      <c r="F124" s="1">
        <v>45662</v>
      </c>
      <c r="G124" s="1">
        <v>45663</v>
      </c>
      <c r="H124" t="s">
        <v>12</v>
      </c>
      <c r="I124" t="s">
        <v>20</v>
      </c>
      <c r="J124">
        <v>4</v>
      </c>
      <c r="K124" t="s">
        <v>4</v>
      </c>
      <c r="L124" t="s">
        <v>40</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179</v>
      </c>
      <c r="B125" t="s">
        <v>11</v>
      </c>
      <c r="C125">
        <v>2</v>
      </c>
      <c r="D125">
        <v>59.7</v>
      </c>
      <c r="E125">
        <v>119.4</v>
      </c>
      <c r="F125" s="1">
        <v>45662</v>
      </c>
      <c r="G125" s="1">
        <v>45663</v>
      </c>
      <c r="H125" t="s">
        <v>12</v>
      </c>
      <c r="I125" t="s">
        <v>3</v>
      </c>
      <c r="J125">
        <v>4</v>
      </c>
      <c r="K125" t="s">
        <v>4</v>
      </c>
      <c r="L125" t="s">
        <v>44</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180</v>
      </c>
      <c r="B126" t="s">
        <v>7</v>
      </c>
      <c r="C126">
        <v>6</v>
      </c>
      <c r="D126">
        <v>92</v>
      </c>
      <c r="E126">
        <v>552</v>
      </c>
      <c r="F126" s="1">
        <v>45662</v>
      </c>
      <c r="G126" s="1">
        <v>45664</v>
      </c>
      <c r="H126" t="s">
        <v>8</v>
      </c>
      <c r="I126" t="s">
        <v>3</v>
      </c>
      <c r="J126">
        <v>2</v>
      </c>
      <c r="K126" t="s">
        <v>4</v>
      </c>
      <c r="L126" t="s">
        <v>44</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181</v>
      </c>
      <c r="B127" t="s">
        <v>27</v>
      </c>
      <c r="C127">
        <v>2</v>
      </c>
      <c r="D127">
        <v>87.6</v>
      </c>
      <c r="E127">
        <v>175.2</v>
      </c>
      <c r="F127" s="1">
        <v>45662</v>
      </c>
      <c r="G127" s="1">
        <v>45664</v>
      </c>
      <c r="H127" t="s">
        <v>8</v>
      </c>
      <c r="I127" t="s">
        <v>20</v>
      </c>
      <c r="J127">
        <v>3</v>
      </c>
      <c r="K127" t="s">
        <v>4</v>
      </c>
      <c r="L127" t="s">
        <v>47</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182</v>
      </c>
      <c r="B128" t="s">
        <v>24</v>
      </c>
      <c r="C128">
        <v>3</v>
      </c>
      <c r="D128">
        <v>84.5</v>
      </c>
      <c r="E128">
        <v>253.5</v>
      </c>
      <c r="F128" s="1">
        <v>45662</v>
      </c>
      <c r="G128" s="1">
        <v>45663</v>
      </c>
      <c r="H128" t="s">
        <v>12</v>
      </c>
      <c r="I128" t="s">
        <v>20</v>
      </c>
      <c r="J128">
        <v>3</v>
      </c>
      <c r="K128" t="s">
        <v>4</v>
      </c>
      <c r="L128" t="s">
        <v>47</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183</v>
      </c>
      <c r="B129" t="s">
        <v>7</v>
      </c>
      <c r="C129">
        <v>2</v>
      </c>
      <c r="D129">
        <v>116.3</v>
      </c>
      <c r="E129">
        <v>232.6</v>
      </c>
      <c r="F129" s="1">
        <v>45663</v>
      </c>
      <c r="G129" s="1">
        <v>45665</v>
      </c>
      <c r="H129" t="s">
        <v>8</v>
      </c>
      <c r="I129" t="s">
        <v>25</v>
      </c>
      <c r="J129">
        <v>5</v>
      </c>
      <c r="K129" t="s">
        <v>4</v>
      </c>
      <c r="L129" t="s">
        <v>47</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184</v>
      </c>
      <c r="B130" t="s">
        <v>24</v>
      </c>
      <c r="C130">
        <v>5</v>
      </c>
      <c r="D130">
        <v>52.7</v>
      </c>
      <c r="E130">
        <v>263.5</v>
      </c>
      <c r="F130" s="1">
        <v>45663</v>
      </c>
      <c r="G130" s="1">
        <v>45667</v>
      </c>
      <c r="H130" t="s">
        <v>8</v>
      </c>
      <c r="I130" t="s">
        <v>3</v>
      </c>
      <c r="J130">
        <v>4</v>
      </c>
      <c r="K130" t="s">
        <v>4</v>
      </c>
      <c r="L130" t="s">
        <v>47</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185</v>
      </c>
      <c r="B131" t="s">
        <v>113</v>
      </c>
      <c r="C131">
        <v>3</v>
      </c>
      <c r="D131">
        <v>34.200000000000003</v>
      </c>
      <c r="E131">
        <v>102.60000000000001</v>
      </c>
      <c r="F131" s="1">
        <v>45663</v>
      </c>
      <c r="G131" s="1">
        <v>45664</v>
      </c>
      <c r="H131" t="s">
        <v>8</v>
      </c>
      <c r="I131" t="s">
        <v>3</v>
      </c>
      <c r="J131">
        <v>5</v>
      </c>
      <c r="K131" t="s">
        <v>4</v>
      </c>
      <c r="L131" t="s">
        <v>186</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187</v>
      </c>
      <c r="B132" t="s">
        <v>31</v>
      </c>
      <c r="C132">
        <v>1</v>
      </c>
      <c r="D132">
        <v>23.3</v>
      </c>
      <c r="E132">
        <v>23.3</v>
      </c>
      <c r="F132" s="1">
        <v>45663</v>
      </c>
      <c r="G132" s="1">
        <v>45672</v>
      </c>
      <c r="H132" t="s">
        <v>74</v>
      </c>
      <c r="I132" t="s">
        <v>25</v>
      </c>
      <c r="J132">
        <v>5</v>
      </c>
      <c r="K132" t="s">
        <v>4</v>
      </c>
      <c r="L132" t="s">
        <v>57</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188</v>
      </c>
      <c r="B133" t="s">
        <v>1</v>
      </c>
      <c r="C133">
        <v>26</v>
      </c>
      <c r="D133">
        <v>25.9</v>
      </c>
      <c r="E133">
        <v>673.4</v>
      </c>
      <c r="F133" s="1">
        <v>45663</v>
      </c>
      <c r="G133" s="1">
        <v>45666</v>
      </c>
      <c r="H133" t="s">
        <v>12</v>
      </c>
      <c r="I133" t="s">
        <v>55</v>
      </c>
      <c r="J133">
        <v>3</v>
      </c>
      <c r="K133" t="s">
        <v>4</v>
      </c>
      <c r="L133" t="s">
        <v>57</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189</v>
      </c>
      <c r="B134" t="s">
        <v>24</v>
      </c>
      <c r="C134">
        <v>29</v>
      </c>
      <c r="D134">
        <v>54.9</v>
      </c>
      <c r="E134">
        <v>1592.1</v>
      </c>
      <c r="F134" s="1">
        <v>45663</v>
      </c>
      <c r="G134" s="1">
        <v>45664</v>
      </c>
      <c r="H134" t="s">
        <v>8</v>
      </c>
      <c r="I134" t="s">
        <v>20</v>
      </c>
      <c r="J134">
        <v>5</v>
      </c>
      <c r="K134" t="s">
        <v>4</v>
      </c>
      <c r="L134" t="s">
        <v>57</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190</v>
      </c>
      <c r="B135" t="s">
        <v>22</v>
      </c>
      <c r="C135">
        <v>3</v>
      </c>
      <c r="D135">
        <v>75.8</v>
      </c>
      <c r="E135">
        <v>227.39999999999998</v>
      </c>
      <c r="F135" s="1">
        <v>45663</v>
      </c>
      <c r="G135" s="1">
        <v>45668</v>
      </c>
      <c r="H135" t="s">
        <v>74</v>
      </c>
      <c r="I135" t="s">
        <v>20</v>
      </c>
      <c r="J135">
        <v>4</v>
      </c>
      <c r="K135" t="s">
        <v>4</v>
      </c>
      <c r="L135" t="s">
        <v>93</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191</v>
      </c>
      <c r="B136" t="s">
        <v>7</v>
      </c>
      <c r="C136">
        <v>9</v>
      </c>
      <c r="D136">
        <v>44.9</v>
      </c>
      <c r="E136">
        <v>404.09999999999997</v>
      </c>
      <c r="F136" s="1">
        <v>45663</v>
      </c>
      <c r="G136" s="1">
        <v>45666</v>
      </c>
      <c r="H136" t="s">
        <v>12</v>
      </c>
      <c r="I136" t="s">
        <v>25</v>
      </c>
      <c r="J136">
        <v>5</v>
      </c>
      <c r="K136" t="s">
        <v>4</v>
      </c>
      <c r="L136" t="s">
        <v>13</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192</v>
      </c>
      <c r="B137" t="s">
        <v>52</v>
      </c>
      <c r="C137">
        <v>2</v>
      </c>
      <c r="D137">
        <v>48.8</v>
      </c>
      <c r="E137">
        <v>97.6</v>
      </c>
      <c r="F137" s="1">
        <v>45663</v>
      </c>
      <c r="G137" s="1">
        <v>45665</v>
      </c>
      <c r="H137" t="s">
        <v>12</v>
      </c>
      <c r="I137" t="s">
        <v>36</v>
      </c>
      <c r="J137">
        <v>4</v>
      </c>
      <c r="K137" t="s">
        <v>4</v>
      </c>
      <c r="L137" t="s">
        <v>193</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194</v>
      </c>
      <c r="B138" t="s">
        <v>108</v>
      </c>
      <c r="C138">
        <v>1</v>
      </c>
      <c r="D138">
        <v>20.3</v>
      </c>
      <c r="E138">
        <v>20.3</v>
      </c>
      <c r="F138" s="1">
        <v>45663</v>
      </c>
      <c r="G138" s="1">
        <v>45664</v>
      </c>
      <c r="H138" t="s">
        <v>12</v>
      </c>
      <c r="I138" t="s">
        <v>3</v>
      </c>
      <c r="J138">
        <v>5</v>
      </c>
      <c r="K138" t="s">
        <v>4</v>
      </c>
      <c r="L138" t="s">
        <v>132</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195</v>
      </c>
      <c r="B139" t="s">
        <v>22</v>
      </c>
      <c r="C139">
        <v>7</v>
      </c>
      <c r="D139">
        <v>36.4</v>
      </c>
      <c r="E139">
        <v>254.79999999999998</v>
      </c>
      <c r="F139" s="1">
        <v>45663</v>
      </c>
      <c r="G139" s="1">
        <v>45666</v>
      </c>
      <c r="H139" t="s">
        <v>12</v>
      </c>
      <c r="I139" t="s">
        <v>3</v>
      </c>
      <c r="J139">
        <v>3</v>
      </c>
      <c r="K139" t="s">
        <v>4</v>
      </c>
      <c r="L139" t="s">
        <v>18</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196</v>
      </c>
      <c r="B140" t="s">
        <v>1</v>
      </c>
      <c r="C140">
        <v>1</v>
      </c>
      <c r="D140">
        <v>19</v>
      </c>
      <c r="E140">
        <v>19</v>
      </c>
      <c r="F140" s="1">
        <v>45663</v>
      </c>
      <c r="G140" s="1">
        <v>45668</v>
      </c>
      <c r="H140" t="s">
        <v>12</v>
      </c>
      <c r="I140" t="s">
        <v>20</v>
      </c>
      <c r="J140">
        <v>5</v>
      </c>
      <c r="K140" t="s">
        <v>4</v>
      </c>
      <c r="L140" t="s">
        <v>18</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197</v>
      </c>
      <c r="B141" t="s">
        <v>29</v>
      </c>
      <c r="C141">
        <v>1</v>
      </c>
      <c r="D141">
        <v>17.8</v>
      </c>
      <c r="E141">
        <v>17.8</v>
      </c>
      <c r="F141" s="1">
        <v>45663</v>
      </c>
      <c r="G141" s="1">
        <v>45663</v>
      </c>
      <c r="H141" t="s">
        <v>8</v>
      </c>
      <c r="I141" t="s">
        <v>3</v>
      </c>
      <c r="J141">
        <v>4</v>
      </c>
      <c r="K141" t="s">
        <v>4</v>
      </c>
      <c r="L141" t="s">
        <v>18</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198</v>
      </c>
      <c r="B142" t="s">
        <v>11</v>
      </c>
      <c r="C142">
        <v>6</v>
      </c>
      <c r="D142">
        <v>139.6</v>
      </c>
      <c r="E142">
        <v>837.59999999999991</v>
      </c>
      <c r="F142" s="1">
        <v>45663</v>
      </c>
      <c r="G142" s="1">
        <v>45666</v>
      </c>
      <c r="H142" t="s">
        <v>8</v>
      </c>
      <c r="I142" t="s">
        <v>3</v>
      </c>
      <c r="J142">
        <v>4</v>
      </c>
      <c r="K142" t="s">
        <v>4</v>
      </c>
      <c r="L142" t="s">
        <v>18</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199</v>
      </c>
      <c r="B143" t="s">
        <v>31</v>
      </c>
      <c r="C143">
        <v>1</v>
      </c>
      <c r="D143">
        <v>31.7</v>
      </c>
      <c r="E143">
        <v>31.7</v>
      </c>
      <c r="F143" s="1">
        <v>45663</v>
      </c>
      <c r="G143" s="1">
        <v>45663</v>
      </c>
      <c r="H143" t="s">
        <v>2</v>
      </c>
      <c r="I143" t="s">
        <v>3</v>
      </c>
      <c r="J143">
        <v>4</v>
      </c>
      <c r="K143" t="s">
        <v>4</v>
      </c>
      <c r="L143" t="s">
        <v>18</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200</v>
      </c>
      <c r="B144" t="s">
        <v>29</v>
      </c>
      <c r="C144">
        <v>8</v>
      </c>
      <c r="D144">
        <v>26.3</v>
      </c>
      <c r="E144">
        <v>210.4</v>
      </c>
      <c r="F144" s="1">
        <v>45663</v>
      </c>
      <c r="G144" s="1">
        <v>45666</v>
      </c>
      <c r="H144" t="s">
        <v>12</v>
      </c>
      <c r="I144" t="s">
        <v>55</v>
      </c>
      <c r="J144">
        <v>2</v>
      </c>
      <c r="K144" t="s">
        <v>4</v>
      </c>
      <c r="L144" t="s">
        <v>18</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201</v>
      </c>
      <c r="B145" t="s">
        <v>17</v>
      </c>
      <c r="C145">
        <v>2</v>
      </c>
      <c r="D145">
        <v>47.8</v>
      </c>
      <c r="E145">
        <v>95.6</v>
      </c>
      <c r="F145" s="1">
        <v>45663</v>
      </c>
      <c r="G145" s="1">
        <v>45664</v>
      </c>
      <c r="H145" t="s">
        <v>2</v>
      </c>
      <c r="I145" t="s">
        <v>3</v>
      </c>
      <c r="J145">
        <v>4</v>
      </c>
      <c r="K145" t="s">
        <v>4</v>
      </c>
      <c r="L145" t="s">
        <v>18</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202</v>
      </c>
      <c r="B146" t="s">
        <v>31</v>
      </c>
      <c r="C146">
        <v>3</v>
      </c>
      <c r="D146">
        <v>69.400000000000006</v>
      </c>
      <c r="E146">
        <v>208.20000000000002</v>
      </c>
      <c r="F146" s="1">
        <v>45663</v>
      </c>
      <c r="G146" s="1">
        <v>45667</v>
      </c>
      <c r="H146" t="s">
        <v>12</v>
      </c>
      <c r="I146" t="s">
        <v>3</v>
      </c>
      <c r="J146">
        <v>4</v>
      </c>
      <c r="K146" t="s">
        <v>4</v>
      </c>
      <c r="L146" t="s">
        <v>18</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203</v>
      </c>
      <c r="B147" t="s">
        <v>131</v>
      </c>
      <c r="C147">
        <v>12</v>
      </c>
      <c r="D147">
        <v>25.8</v>
      </c>
      <c r="E147">
        <v>309.60000000000002</v>
      </c>
      <c r="F147" s="1">
        <v>45663</v>
      </c>
      <c r="G147" s="1">
        <v>45664</v>
      </c>
      <c r="H147" t="s">
        <v>8</v>
      </c>
      <c r="I147" t="s">
        <v>55</v>
      </c>
      <c r="J147">
        <v>2</v>
      </c>
      <c r="K147" t="s">
        <v>4</v>
      </c>
      <c r="L147" t="s">
        <v>18</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204</v>
      </c>
      <c r="B148" t="s">
        <v>1</v>
      </c>
      <c r="C148">
        <v>4</v>
      </c>
      <c r="D148">
        <v>26.4</v>
      </c>
      <c r="E148">
        <v>105.6</v>
      </c>
      <c r="F148" s="1">
        <v>45663</v>
      </c>
      <c r="G148" s="1">
        <v>45664</v>
      </c>
      <c r="H148" t="s">
        <v>8</v>
      </c>
      <c r="I148" t="s">
        <v>20</v>
      </c>
      <c r="J148">
        <v>5</v>
      </c>
      <c r="K148" t="s">
        <v>4</v>
      </c>
      <c r="L148" t="s">
        <v>18</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205</v>
      </c>
      <c r="B149" t="s">
        <v>29</v>
      </c>
      <c r="C149">
        <v>4</v>
      </c>
      <c r="D149">
        <v>15.7</v>
      </c>
      <c r="E149">
        <v>62.8</v>
      </c>
      <c r="F149" s="1">
        <v>45663</v>
      </c>
      <c r="G149" s="1">
        <v>45664</v>
      </c>
      <c r="H149" t="s">
        <v>8</v>
      </c>
      <c r="I149" t="s">
        <v>25</v>
      </c>
      <c r="J149">
        <v>4</v>
      </c>
      <c r="K149" t="s">
        <v>4</v>
      </c>
      <c r="L149" t="s">
        <v>18</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206</v>
      </c>
      <c r="B150" t="s">
        <v>29</v>
      </c>
      <c r="C150">
        <v>1</v>
      </c>
      <c r="D150">
        <v>39.700000000000003</v>
      </c>
      <c r="E150">
        <v>39.700000000000003</v>
      </c>
      <c r="F150" s="1">
        <v>45663</v>
      </c>
      <c r="G150" s="1">
        <v>45667</v>
      </c>
      <c r="H150" t="s">
        <v>8</v>
      </c>
      <c r="I150" t="s">
        <v>3</v>
      </c>
      <c r="J150">
        <v>4</v>
      </c>
      <c r="K150" t="s">
        <v>4</v>
      </c>
      <c r="L150" t="s">
        <v>18</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207</v>
      </c>
      <c r="B151" t="s">
        <v>39</v>
      </c>
      <c r="C151">
        <v>4</v>
      </c>
      <c r="D151">
        <v>31.1</v>
      </c>
      <c r="E151">
        <v>124.4</v>
      </c>
      <c r="F151" s="1">
        <v>45663</v>
      </c>
      <c r="G151" s="1">
        <v>45665</v>
      </c>
      <c r="H151" t="s">
        <v>12</v>
      </c>
      <c r="I151" t="s">
        <v>25</v>
      </c>
      <c r="J151">
        <v>3</v>
      </c>
      <c r="K151" t="s">
        <v>4</v>
      </c>
      <c r="L151" t="s">
        <v>18</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208</v>
      </c>
      <c r="B152" t="s">
        <v>61</v>
      </c>
      <c r="C152">
        <v>15</v>
      </c>
      <c r="D152">
        <v>23.4</v>
      </c>
      <c r="E152">
        <v>351</v>
      </c>
      <c r="F152" s="1">
        <v>45663</v>
      </c>
      <c r="G152" s="1">
        <v>45672</v>
      </c>
      <c r="H152" t="s">
        <v>8</v>
      </c>
      <c r="I152" t="s">
        <v>3</v>
      </c>
      <c r="J152">
        <v>4</v>
      </c>
      <c r="K152" t="s">
        <v>4</v>
      </c>
      <c r="L152" t="s">
        <v>18</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209</v>
      </c>
      <c r="B153" t="s">
        <v>7</v>
      </c>
      <c r="C153">
        <v>4</v>
      </c>
      <c r="D153">
        <v>57.1</v>
      </c>
      <c r="E153">
        <v>228.4</v>
      </c>
      <c r="F153" s="1">
        <v>45664</v>
      </c>
      <c r="G153" s="1">
        <v>45665</v>
      </c>
      <c r="H153" t="s">
        <v>8</v>
      </c>
      <c r="I153" t="s">
        <v>25</v>
      </c>
      <c r="J153">
        <v>4</v>
      </c>
      <c r="K153" t="s">
        <v>4</v>
      </c>
      <c r="L153" t="s">
        <v>173</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210</v>
      </c>
      <c r="B154" t="s">
        <v>11</v>
      </c>
      <c r="C154">
        <v>5</v>
      </c>
      <c r="D154">
        <v>89.9</v>
      </c>
      <c r="E154">
        <v>449.5</v>
      </c>
      <c r="F154" s="1">
        <v>45664</v>
      </c>
      <c r="G154" s="1">
        <v>45664</v>
      </c>
      <c r="H154" t="s">
        <v>12</v>
      </c>
      <c r="I154" t="s">
        <v>3</v>
      </c>
      <c r="J154">
        <v>1</v>
      </c>
      <c r="K154" t="s">
        <v>4</v>
      </c>
      <c r="L154" t="s">
        <v>143</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211</v>
      </c>
      <c r="B155" t="s">
        <v>39</v>
      </c>
      <c r="C155">
        <v>7</v>
      </c>
      <c r="D155">
        <v>48.1</v>
      </c>
      <c r="E155">
        <v>336.7</v>
      </c>
      <c r="F155" s="1">
        <v>45664</v>
      </c>
      <c r="G155" s="1">
        <v>45666</v>
      </c>
      <c r="H155" t="s">
        <v>12</v>
      </c>
      <c r="I155" t="s">
        <v>20</v>
      </c>
      <c r="J155">
        <v>5</v>
      </c>
      <c r="K155" t="s">
        <v>4</v>
      </c>
      <c r="L155" t="s">
        <v>40</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212</v>
      </c>
      <c r="B156" t="s">
        <v>29</v>
      </c>
      <c r="C156">
        <v>2</v>
      </c>
      <c r="D156">
        <v>29.3</v>
      </c>
      <c r="E156">
        <v>58.6</v>
      </c>
      <c r="F156" s="1">
        <v>45664</v>
      </c>
      <c r="G156" s="1">
        <v>45664</v>
      </c>
      <c r="H156" t="s">
        <v>12</v>
      </c>
      <c r="I156" t="s">
        <v>20</v>
      </c>
      <c r="J156">
        <v>3</v>
      </c>
      <c r="K156" t="s">
        <v>4</v>
      </c>
      <c r="L156" t="s">
        <v>40</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213</v>
      </c>
      <c r="B157" t="s">
        <v>29</v>
      </c>
      <c r="C157">
        <v>4</v>
      </c>
      <c r="D157">
        <v>28.8</v>
      </c>
      <c r="E157">
        <v>115.2</v>
      </c>
      <c r="F157" s="1">
        <v>45664</v>
      </c>
      <c r="G157" s="1">
        <v>45665</v>
      </c>
      <c r="H157" t="s">
        <v>12</v>
      </c>
      <c r="I157" t="s">
        <v>3</v>
      </c>
      <c r="J157">
        <v>2</v>
      </c>
      <c r="K157" t="s">
        <v>4</v>
      </c>
      <c r="L157" t="s">
        <v>40</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214</v>
      </c>
      <c r="B158" t="s">
        <v>39</v>
      </c>
      <c r="C158">
        <v>5</v>
      </c>
      <c r="D158">
        <v>40.5</v>
      </c>
      <c r="E158">
        <v>202.5</v>
      </c>
      <c r="F158" s="1">
        <v>45664</v>
      </c>
      <c r="G158" s="1">
        <v>45668</v>
      </c>
      <c r="H158" t="s">
        <v>12</v>
      </c>
      <c r="I158" t="s">
        <v>36</v>
      </c>
      <c r="J158">
        <v>4</v>
      </c>
      <c r="K158" t="s">
        <v>4</v>
      </c>
      <c r="L158" t="s">
        <v>40</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215</v>
      </c>
      <c r="B159" t="s">
        <v>131</v>
      </c>
      <c r="C159">
        <v>14</v>
      </c>
      <c r="D159">
        <v>65.099999999999994</v>
      </c>
      <c r="E159">
        <v>911.39999999999986</v>
      </c>
      <c r="F159" s="1">
        <v>45664</v>
      </c>
      <c r="G159" s="1">
        <v>45665</v>
      </c>
      <c r="H159" t="s">
        <v>12</v>
      </c>
      <c r="I159" t="s">
        <v>55</v>
      </c>
      <c r="J159">
        <v>4</v>
      </c>
      <c r="K159" t="s">
        <v>4</v>
      </c>
      <c r="L159" t="s">
        <v>44</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216</v>
      </c>
      <c r="B160" t="s">
        <v>29</v>
      </c>
      <c r="C160">
        <v>4</v>
      </c>
      <c r="D160">
        <v>40.299999999999997</v>
      </c>
      <c r="E160">
        <v>161.19999999999999</v>
      </c>
      <c r="F160" s="1">
        <v>45664</v>
      </c>
      <c r="G160" s="1">
        <v>45669</v>
      </c>
      <c r="H160" t="s">
        <v>12</v>
      </c>
      <c r="I160" t="s">
        <v>25</v>
      </c>
      <c r="J160">
        <v>4</v>
      </c>
      <c r="K160" t="s">
        <v>4</v>
      </c>
      <c r="L160" t="s">
        <v>44</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217</v>
      </c>
      <c r="B161" t="s">
        <v>24</v>
      </c>
      <c r="C161">
        <v>5</v>
      </c>
      <c r="D161">
        <v>51.8</v>
      </c>
      <c r="E161">
        <v>259</v>
      </c>
      <c r="F161" s="1">
        <v>45664</v>
      </c>
      <c r="G161" s="1">
        <v>45665</v>
      </c>
      <c r="H161" t="s">
        <v>8</v>
      </c>
      <c r="I161" t="s">
        <v>25</v>
      </c>
      <c r="J161">
        <v>5</v>
      </c>
      <c r="K161" t="s">
        <v>4</v>
      </c>
      <c r="L161" t="s">
        <v>47</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218</v>
      </c>
      <c r="B162" t="s">
        <v>24</v>
      </c>
      <c r="C162">
        <v>3</v>
      </c>
      <c r="D162">
        <v>61.3</v>
      </c>
      <c r="E162">
        <v>183.89999999999998</v>
      </c>
      <c r="F162" s="1">
        <v>45664</v>
      </c>
      <c r="G162" s="1">
        <v>45665</v>
      </c>
      <c r="H162" t="s">
        <v>12</v>
      </c>
      <c r="I162" t="s">
        <v>36</v>
      </c>
      <c r="J162">
        <v>4</v>
      </c>
      <c r="K162" t="s">
        <v>4</v>
      </c>
      <c r="L162" t="s">
        <v>47</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219</v>
      </c>
      <c r="B163" t="s">
        <v>11</v>
      </c>
      <c r="C163">
        <v>4</v>
      </c>
      <c r="D163">
        <v>122.5</v>
      </c>
      <c r="E163">
        <v>490</v>
      </c>
      <c r="F163" s="1">
        <v>45664</v>
      </c>
      <c r="G163" s="1">
        <v>45665</v>
      </c>
      <c r="H163" t="s">
        <v>8</v>
      </c>
      <c r="I163" t="s">
        <v>3</v>
      </c>
      <c r="J163">
        <v>4</v>
      </c>
      <c r="K163" t="s">
        <v>4</v>
      </c>
      <c r="L163" t="s">
        <v>47</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220</v>
      </c>
      <c r="B164" t="s">
        <v>1</v>
      </c>
      <c r="C164">
        <v>9</v>
      </c>
      <c r="D164">
        <v>12.5</v>
      </c>
      <c r="E164">
        <v>112.5</v>
      </c>
      <c r="F164" s="1">
        <v>45664</v>
      </c>
      <c r="G164" s="1">
        <v>45665</v>
      </c>
      <c r="H164" t="s">
        <v>2</v>
      </c>
      <c r="I164" t="s">
        <v>20</v>
      </c>
      <c r="J164">
        <v>5</v>
      </c>
      <c r="K164" t="s">
        <v>4</v>
      </c>
      <c r="L164" t="s">
        <v>47</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221</v>
      </c>
      <c r="B165" t="s">
        <v>108</v>
      </c>
      <c r="C165">
        <v>8</v>
      </c>
      <c r="D165">
        <v>37.5</v>
      </c>
      <c r="E165">
        <v>300</v>
      </c>
      <c r="F165" s="1">
        <v>45664</v>
      </c>
      <c r="G165" s="1">
        <v>45665</v>
      </c>
      <c r="H165" t="s">
        <v>12</v>
      </c>
      <c r="I165" t="s">
        <v>3</v>
      </c>
      <c r="J165">
        <v>4</v>
      </c>
      <c r="K165" t="s">
        <v>4</v>
      </c>
      <c r="L165" t="s">
        <v>57</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222</v>
      </c>
      <c r="B166" t="s">
        <v>24</v>
      </c>
      <c r="C166">
        <v>3</v>
      </c>
      <c r="D166">
        <v>40</v>
      </c>
      <c r="E166">
        <v>120</v>
      </c>
      <c r="F166" s="1">
        <v>45664</v>
      </c>
      <c r="G166" s="1">
        <v>45667</v>
      </c>
      <c r="H166" t="s">
        <v>8</v>
      </c>
      <c r="I166" t="s">
        <v>3</v>
      </c>
      <c r="J166">
        <v>2</v>
      </c>
      <c r="K166" t="s">
        <v>4</v>
      </c>
      <c r="L166" t="s">
        <v>62</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223</v>
      </c>
      <c r="B167" t="s">
        <v>120</v>
      </c>
      <c r="C167">
        <v>8</v>
      </c>
      <c r="D167">
        <v>38.5</v>
      </c>
      <c r="E167">
        <v>308</v>
      </c>
      <c r="F167" s="1">
        <v>45664</v>
      </c>
      <c r="G167" s="1">
        <v>45669</v>
      </c>
      <c r="H167" t="s">
        <v>12</v>
      </c>
      <c r="I167" t="s">
        <v>25</v>
      </c>
      <c r="J167">
        <v>3</v>
      </c>
      <c r="K167" t="s">
        <v>4</v>
      </c>
      <c r="L167" t="s">
        <v>62</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224</v>
      </c>
      <c r="B168" t="s">
        <v>11</v>
      </c>
      <c r="C168">
        <v>2</v>
      </c>
      <c r="D168">
        <v>86.4</v>
      </c>
      <c r="E168">
        <v>172.8</v>
      </c>
      <c r="F168" s="1">
        <v>45664</v>
      </c>
      <c r="G168" s="1">
        <v>45666</v>
      </c>
      <c r="H168" t="s">
        <v>12</v>
      </c>
      <c r="I168" t="s">
        <v>3</v>
      </c>
      <c r="J168">
        <v>4</v>
      </c>
      <c r="K168" t="s">
        <v>4</v>
      </c>
      <c r="L168" t="s">
        <v>93</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225</v>
      </c>
      <c r="B169" t="s">
        <v>39</v>
      </c>
      <c r="C169">
        <v>1</v>
      </c>
      <c r="D169">
        <v>50.7</v>
      </c>
      <c r="E169">
        <v>50.7</v>
      </c>
      <c r="F169" s="1">
        <v>45664</v>
      </c>
      <c r="G169" s="1">
        <v>45668</v>
      </c>
      <c r="H169" t="s">
        <v>12</v>
      </c>
      <c r="I169" t="s">
        <v>20</v>
      </c>
      <c r="J169">
        <v>4</v>
      </c>
      <c r="K169" t="s">
        <v>4</v>
      </c>
      <c r="L169" t="s">
        <v>93</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226</v>
      </c>
      <c r="B170" t="s">
        <v>39</v>
      </c>
      <c r="C170">
        <v>2</v>
      </c>
      <c r="D170">
        <v>61</v>
      </c>
      <c r="E170">
        <v>122</v>
      </c>
      <c r="F170" s="1">
        <v>45664</v>
      </c>
      <c r="G170" s="1">
        <v>45675</v>
      </c>
      <c r="H170" t="s">
        <v>12</v>
      </c>
      <c r="I170" t="s">
        <v>55</v>
      </c>
      <c r="J170">
        <v>3</v>
      </c>
      <c r="K170" t="s">
        <v>4</v>
      </c>
      <c r="L170" t="s">
        <v>93</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227</v>
      </c>
      <c r="B171" t="s">
        <v>17</v>
      </c>
      <c r="C171">
        <v>2</v>
      </c>
      <c r="D171">
        <v>19.899999999999999</v>
      </c>
      <c r="E171">
        <v>39.799999999999997</v>
      </c>
      <c r="F171" s="1">
        <v>45664</v>
      </c>
      <c r="G171" s="1">
        <v>45667</v>
      </c>
      <c r="H171" t="s">
        <v>12</v>
      </c>
      <c r="I171" t="s">
        <v>20</v>
      </c>
      <c r="J171">
        <v>4</v>
      </c>
      <c r="K171" t="s">
        <v>4</v>
      </c>
      <c r="L171" t="s">
        <v>228</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229</v>
      </c>
      <c r="B172" t="s">
        <v>22</v>
      </c>
      <c r="C172">
        <v>1</v>
      </c>
      <c r="D172">
        <v>78.3</v>
      </c>
      <c r="E172">
        <v>78.3</v>
      </c>
      <c r="F172" s="1">
        <v>45664</v>
      </c>
      <c r="G172" s="1">
        <v>45664</v>
      </c>
      <c r="H172" t="s">
        <v>12</v>
      </c>
      <c r="I172" t="s">
        <v>3</v>
      </c>
      <c r="J172">
        <v>5</v>
      </c>
      <c r="K172" t="s">
        <v>4</v>
      </c>
      <c r="L172" t="s">
        <v>9</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230</v>
      </c>
      <c r="B173" t="s">
        <v>1</v>
      </c>
      <c r="C173">
        <v>19</v>
      </c>
      <c r="D173">
        <v>10.4</v>
      </c>
      <c r="E173">
        <v>197.6</v>
      </c>
      <c r="F173" s="1">
        <v>45664</v>
      </c>
      <c r="G173" s="1">
        <v>45666</v>
      </c>
      <c r="H173" t="s">
        <v>8</v>
      </c>
      <c r="I173" t="s">
        <v>3</v>
      </c>
      <c r="J173">
        <v>5</v>
      </c>
      <c r="K173" t="s">
        <v>4</v>
      </c>
      <c r="L173" t="s">
        <v>13</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231</v>
      </c>
      <c r="B174" t="s">
        <v>39</v>
      </c>
      <c r="C174">
        <v>1</v>
      </c>
      <c r="D174">
        <v>36.1</v>
      </c>
      <c r="E174">
        <v>36.1</v>
      </c>
      <c r="F174" s="1">
        <v>45664</v>
      </c>
      <c r="G174" s="1">
        <v>45667</v>
      </c>
      <c r="H174" t="s">
        <v>8</v>
      </c>
      <c r="I174" t="s">
        <v>36</v>
      </c>
      <c r="J174">
        <v>5</v>
      </c>
      <c r="K174" t="s">
        <v>4</v>
      </c>
      <c r="L174" t="s">
        <v>18</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232</v>
      </c>
      <c r="B175" t="s">
        <v>66</v>
      </c>
      <c r="C175">
        <v>2</v>
      </c>
      <c r="D175">
        <v>17.3</v>
      </c>
      <c r="E175">
        <v>34.6</v>
      </c>
      <c r="F175" s="1">
        <v>45664</v>
      </c>
      <c r="G175" s="1">
        <v>45666</v>
      </c>
      <c r="H175" t="s">
        <v>12</v>
      </c>
      <c r="I175" t="s">
        <v>20</v>
      </c>
      <c r="J175">
        <v>5</v>
      </c>
      <c r="K175" t="s">
        <v>4</v>
      </c>
      <c r="L175" t="s">
        <v>18</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233</v>
      </c>
      <c r="B176" t="s">
        <v>39</v>
      </c>
      <c r="C176">
        <v>2</v>
      </c>
      <c r="D176">
        <v>30.5</v>
      </c>
      <c r="E176">
        <v>61</v>
      </c>
      <c r="F176" s="1">
        <v>45664</v>
      </c>
      <c r="G176" s="1">
        <v>45665</v>
      </c>
      <c r="H176" t="s">
        <v>12</v>
      </c>
      <c r="I176" t="s">
        <v>20</v>
      </c>
      <c r="J176">
        <v>5</v>
      </c>
      <c r="K176" t="s">
        <v>4</v>
      </c>
      <c r="L176" t="s">
        <v>18</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234</v>
      </c>
      <c r="B177" t="s">
        <v>131</v>
      </c>
      <c r="C177">
        <v>62</v>
      </c>
      <c r="D177">
        <v>70.099999999999994</v>
      </c>
      <c r="E177">
        <v>4346.2</v>
      </c>
      <c r="F177" s="1">
        <v>45664</v>
      </c>
      <c r="G177" s="1">
        <v>45664</v>
      </c>
      <c r="H177" t="s">
        <v>12</v>
      </c>
      <c r="I177" t="s">
        <v>25</v>
      </c>
      <c r="J177">
        <v>4</v>
      </c>
      <c r="K177" t="s">
        <v>4</v>
      </c>
      <c r="L177" t="s">
        <v>18</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235</v>
      </c>
      <c r="B178" t="s">
        <v>15</v>
      </c>
      <c r="C178">
        <v>1</v>
      </c>
      <c r="D178">
        <v>76.099999999999994</v>
      </c>
      <c r="E178">
        <v>76.099999999999994</v>
      </c>
      <c r="F178" s="1">
        <v>45664</v>
      </c>
      <c r="G178" s="1">
        <v>45664</v>
      </c>
      <c r="H178" t="s">
        <v>12</v>
      </c>
      <c r="I178" t="s">
        <v>25</v>
      </c>
      <c r="J178">
        <v>3</v>
      </c>
      <c r="K178" t="s">
        <v>4</v>
      </c>
      <c r="L178" t="s">
        <v>18</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236</v>
      </c>
      <c r="B179" t="s">
        <v>108</v>
      </c>
      <c r="C179">
        <v>13</v>
      </c>
      <c r="D179">
        <v>34.200000000000003</v>
      </c>
      <c r="E179">
        <v>444.6</v>
      </c>
      <c r="F179" s="1">
        <v>45664</v>
      </c>
      <c r="G179" s="1">
        <v>45665</v>
      </c>
      <c r="H179" t="s">
        <v>8</v>
      </c>
      <c r="I179" t="s">
        <v>3</v>
      </c>
      <c r="J179">
        <v>4</v>
      </c>
      <c r="K179" t="s">
        <v>4</v>
      </c>
      <c r="L179" t="s">
        <v>18</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237</v>
      </c>
      <c r="B180" t="s">
        <v>29</v>
      </c>
      <c r="C180">
        <v>5</v>
      </c>
      <c r="D180">
        <v>30.3</v>
      </c>
      <c r="E180">
        <v>151.5</v>
      </c>
      <c r="F180" s="1">
        <v>45664</v>
      </c>
      <c r="G180" s="1">
        <v>45669</v>
      </c>
      <c r="H180" t="s">
        <v>12</v>
      </c>
      <c r="I180" t="s">
        <v>55</v>
      </c>
      <c r="J180">
        <v>4</v>
      </c>
      <c r="K180" t="s">
        <v>4</v>
      </c>
      <c r="L180" t="s">
        <v>18</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238</v>
      </c>
      <c r="B181" t="s">
        <v>24</v>
      </c>
      <c r="C181">
        <v>5</v>
      </c>
      <c r="D181">
        <v>52.5</v>
      </c>
      <c r="E181">
        <v>262.5</v>
      </c>
      <c r="F181" s="1">
        <v>45664</v>
      </c>
      <c r="G181" s="1">
        <v>45668</v>
      </c>
      <c r="H181" t="s">
        <v>2</v>
      </c>
      <c r="I181" t="s">
        <v>36</v>
      </c>
      <c r="J181">
        <v>4</v>
      </c>
      <c r="K181" t="s">
        <v>4</v>
      </c>
      <c r="L181" t="s">
        <v>18</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239</v>
      </c>
      <c r="B182" t="s">
        <v>31</v>
      </c>
      <c r="C182">
        <v>11</v>
      </c>
      <c r="D182">
        <v>28.7</v>
      </c>
      <c r="E182">
        <v>315.7</v>
      </c>
      <c r="F182" s="1">
        <v>45664</v>
      </c>
      <c r="G182" s="1">
        <v>45665</v>
      </c>
      <c r="H182" t="s">
        <v>12</v>
      </c>
      <c r="I182" t="s">
        <v>25</v>
      </c>
      <c r="J182">
        <v>4</v>
      </c>
      <c r="K182" t="s">
        <v>4</v>
      </c>
      <c r="L182" t="s">
        <v>18</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240</v>
      </c>
      <c r="B183" t="s">
        <v>27</v>
      </c>
      <c r="C183">
        <v>7</v>
      </c>
      <c r="D183">
        <v>52</v>
      </c>
      <c r="E183">
        <v>364</v>
      </c>
      <c r="F183" s="1">
        <v>45664</v>
      </c>
      <c r="G183" s="1">
        <v>45665</v>
      </c>
      <c r="H183" t="s">
        <v>8</v>
      </c>
      <c r="I183" t="s">
        <v>20</v>
      </c>
      <c r="J183">
        <v>2</v>
      </c>
      <c r="K183" t="s">
        <v>4</v>
      </c>
      <c r="L183" t="s">
        <v>18</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241</v>
      </c>
      <c r="B184" t="s">
        <v>1</v>
      </c>
      <c r="C184">
        <v>1</v>
      </c>
      <c r="D184">
        <v>13.3</v>
      </c>
      <c r="E184">
        <v>13.3</v>
      </c>
      <c r="F184" s="1">
        <v>45665</v>
      </c>
      <c r="G184" s="1">
        <v>45669</v>
      </c>
      <c r="H184" t="s">
        <v>12</v>
      </c>
      <c r="I184" t="s">
        <v>25</v>
      </c>
      <c r="J184">
        <v>3</v>
      </c>
      <c r="K184" t="s">
        <v>4</v>
      </c>
      <c r="L184" t="s">
        <v>18</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242</v>
      </c>
      <c r="B185" t="s">
        <v>1</v>
      </c>
      <c r="C185">
        <v>3</v>
      </c>
      <c r="D185">
        <v>15.7</v>
      </c>
      <c r="E185">
        <v>47.099999999999994</v>
      </c>
      <c r="F185" s="1">
        <v>45665</v>
      </c>
      <c r="G185" s="1">
        <v>45666</v>
      </c>
      <c r="H185" t="s">
        <v>12</v>
      </c>
      <c r="I185" t="s">
        <v>20</v>
      </c>
      <c r="J185">
        <v>4</v>
      </c>
      <c r="K185" t="s">
        <v>4</v>
      </c>
      <c r="L185" t="s">
        <v>243</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244</v>
      </c>
      <c r="B186" t="s">
        <v>29</v>
      </c>
      <c r="C186">
        <v>2</v>
      </c>
      <c r="D186">
        <v>25.6</v>
      </c>
      <c r="E186">
        <v>51.2</v>
      </c>
      <c r="F186" s="1">
        <v>45665</v>
      </c>
      <c r="G186" s="1">
        <v>45666</v>
      </c>
      <c r="H186" t="s">
        <v>8</v>
      </c>
      <c r="I186" t="s">
        <v>3</v>
      </c>
      <c r="J186">
        <v>5</v>
      </c>
      <c r="K186" t="s">
        <v>4</v>
      </c>
      <c r="L186" t="s">
        <v>143</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245</v>
      </c>
      <c r="B187" t="s">
        <v>29</v>
      </c>
      <c r="C187">
        <v>1</v>
      </c>
      <c r="D187">
        <v>43.4</v>
      </c>
      <c r="E187">
        <v>43.4</v>
      </c>
      <c r="F187" s="1">
        <v>45665</v>
      </c>
      <c r="G187" s="1">
        <v>45670</v>
      </c>
      <c r="H187" t="s">
        <v>8</v>
      </c>
      <c r="I187" t="s">
        <v>3</v>
      </c>
      <c r="J187">
        <v>4</v>
      </c>
      <c r="K187" t="s">
        <v>4</v>
      </c>
      <c r="L187" t="s">
        <v>40</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246</v>
      </c>
      <c r="B188" t="s">
        <v>52</v>
      </c>
      <c r="C188">
        <v>9</v>
      </c>
      <c r="D188">
        <v>33.4</v>
      </c>
      <c r="E188">
        <v>300.59999999999997</v>
      </c>
      <c r="F188" s="1">
        <v>45665</v>
      </c>
      <c r="G188" s="1">
        <v>45665</v>
      </c>
      <c r="H188" t="s">
        <v>12</v>
      </c>
      <c r="I188" t="s">
        <v>3</v>
      </c>
      <c r="J188">
        <v>4</v>
      </c>
      <c r="K188" t="s">
        <v>4</v>
      </c>
      <c r="L188" t="s">
        <v>47</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247</v>
      </c>
      <c r="B189" t="s">
        <v>29</v>
      </c>
      <c r="C189">
        <v>19</v>
      </c>
      <c r="D189">
        <v>55</v>
      </c>
      <c r="E189">
        <v>1045</v>
      </c>
      <c r="F189" s="1">
        <v>45665</v>
      </c>
      <c r="G189" s="1">
        <v>45666</v>
      </c>
      <c r="H189" t="s">
        <v>12</v>
      </c>
      <c r="I189" t="s">
        <v>20</v>
      </c>
      <c r="J189">
        <v>5</v>
      </c>
      <c r="K189" t="s">
        <v>4</v>
      </c>
      <c r="L189" t="s">
        <v>47</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248</v>
      </c>
      <c r="B190" t="s">
        <v>29</v>
      </c>
      <c r="C190">
        <v>3</v>
      </c>
      <c r="D190">
        <v>23.6</v>
      </c>
      <c r="E190">
        <v>70.800000000000011</v>
      </c>
      <c r="F190" s="1">
        <v>45665</v>
      </c>
      <c r="G190" s="1">
        <v>45666</v>
      </c>
      <c r="H190" t="s">
        <v>8</v>
      </c>
      <c r="I190" t="s">
        <v>3</v>
      </c>
      <c r="J190">
        <v>5</v>
      </c>
      <c r="K190" t="s">
        <v>4</v>
      </c>
      <c r="L190" t="s">
        <v>47</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249</v>
      </c>
      <c r="B191" t="s">
        <v>54</v>
      </c>
      <c r="C191">
        <v>9</v>
      </c>
      <c r="D191">
        <v>104</v>
      </c>
      <c r="E191">
        <v>936</v>
      </c>
      <c r="F191" s="1">
        <v>45665</v>
      </c>
      <c r="G191" s="1">
        <v>45667</v>
      </c>
      <c r="H191" t="s">
        <v>12</v>
      </c>
      <c r="I191" t="s">
        <v>25</v>
      </c>
      <c r="J191">
        <v>5</v>
      </c>
      <c r="K191" t="s">
        <v>4</v>
      </c>
      <c r="L191" t="s">
        <v>88</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250</v>
      </c>
      <c r="B192" t="s">
        <v>24</v>
      </c>
      <c r="C192">
        <v>2</v>
      </c>
      <c r="D192">
        <v>51.8</v>
      </c>
      <c r="E192">
        <v>103.6</v>
      </c>
      <c r="F192" s="1">
        <v>45665</v>
      </c>
      <c r="G192" s="1">
        <v>45669</v>
      </c>
      <c r="H192" t="s">
        <v>2</v>
      </c>
      <c r="I192" t="s">
        <v>3</v>
      </c>
      <c r="J192">
        <v>5</v>
      </c>
      <c r="K192" t="s">
        <v>4</v>
      </c>
      <c r="L192" t="s">
        <v>59</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251</v>
      </c>
      <c r="B193" t="s">
        <v>39</v>
      </c>
      <c r="C193">
        <v>5</v>
      </c>
      <c r="D193">
        <v>34.5</v>
      </c>
      <c r="E193">
        <v>172.5</v>
      </c>
      <c r="F193" s="1">
        <v>45665</v>
      </c>
      <c r="G193" s="1">
        <v>45667</v>
      </c>
      <c r="H193" t="s">
        <v>2</v>
      </c>
      <c r="I193" t="s">
        <v>25</v>
      </c>
      <c r="J193">
        <v>5</v>
      </c>
      <c r="K193" t="s">
        <v>4</v>
      </c>
      <c r="L193" t="s">
        <v>62</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252</v>
      </c>
      <c r="B194" t="s">
        <v>24</v>
      </c>
      <c r="C194">
        <v>2</v>
      </c>
      <c r="D194">
        <v>51.8</v>
      </c>
      <c r="E194">
        <v>103.6</v>
      </c>
      <c r="F194" s="1">
        <v>45665</v>
      </c>
      <c r="G194" s="1">
        <v>45667</v>
      </c>
      <c r="H194" t="s">
        <v>8</v>
      </c>
      <c r="I194" t="s">
        <v>20</v>
      </c>
      <c r="J194">
        <v>5</v>
      </c>
      <c r="K194" t="s">
        <v>4</v>
      </c>
      <c r="L194" t="s">
        <v>253</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254</v>
      </c>
      <c r="B195" t="s">
        <v>131</v>
      </c>
      <c r="C195">
        <v>43</v>
      </c>
      <c r="D195">
        <v>131.5</v>
      </c>
      <c r="E195">
        <v>5654.5</v>
      </c>
      <c r="F195" s="1">
        <v>45665</v>
      </c>
      <c r="G195" s="1">
        <v>45666</v>
      </c>
      <c r="H195" t="s">
        <v>12</v>
      </c>
      <c r="I195" t="s">
        <v>3</v>
      </c>
      <c r="J195">
        <v>5</v>
      </c>
      <c r="K195" t="s">
        <v>4</v>
      </c>
      <c r="L195" t="s">
        <v>93</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255</v>
      </c>
      <c r="B196" t="s">
        <v>29</v>
      </c>
      <c r="C196">
        <v>7</v>
      </c>
      <c r="D196">
        <v>47.8</v>
      </c>
      <c r="E196">
        <v>334.59999999999997</v>
      </c>
      <c r="F196" s="1">
        <v>45665</v>
      </c>
      <c r="G196" s="1">
        <v>45665</v>
      </c>
      <c r="H196" t="s">
        <v>12</v>
      </c>
      <c r="I196" t="s">
        <v>3</v>
      </c>
      <c r="J196">
        <v>4</v>
      </c>
      <c r="K196" t="s">
        <v>4</v>
      </c>
      <c r="L196" t="s">
        <v>95</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256</v>
      </c>
      <c r="B197" t="s">
        <v>1</v>
      </c>
      <c r="C197">
        <v>2</v>
      </c>
      <c r="D197">
        <v>10.199999999999999</v>
      </c>
      <c r="E197">
        <v>20.399999999999999</v>
      </c>
      <c r="F197" s="1">
        <v>45665</v>
      </c>
      <c r="G197" s="1">
        <v>45667</v>
      </c>
      <c r="H197" t="s">
        <v>12</v>
      </c>
      <c r="I197" t="s">
        <v>3</v>
      </c>
      <c r="J197">
        <v>4</v>
      </c>
      <c r="K197" t="s">
        <v>4</v>
      </c>
      <c r="L197" t="s">
        <v>95</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257</v>
      </c>
      <c r="B198" t="s">
        <v>29</v>
      </c>
      <c r="C198">
        <v>8</v>
      </c>
      <c r="D198">
        <v>41</v>
      </c>
      <c r="E198">
        <v>328</v>
      </c>
      <c r="F198" s="1">
        <v>45665</v>
      </c>
      <c r="G198" s="1">
        <v>45665</v>
      </c>
      <c r="H198" t="s">
        <v>12</v>
      </c>
      <c r="I198" t="s">
        <v>20</v>
      </c>
      <c r="J198">
        <v>5</v>
      </c>
      <c r="K198" t="s">
        <v>4</v>
      </c>
      <c r="L198" t="s">
        <v>95</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258</v>
      </c>
      <c r="B199" t="s">
        <v>39</v>
      </c>
      <c r="C199">
        <v>7</v>
      </c>
      <c r="D199">
        <v>50.8</v>
      </c>
      <c r="E199">
        <v>355.59999999999997</v>
      </c>
      <c r="F199" s="1">
        <v>45665</v>
      </c>
      <c r="G199" s="1">
        <v>45668</v>
      </c>
      <c r="H199" t="s">
        <v>12</v>
      </c>
      <c r="I199" t="s">
        <v>20</v>
      </c>
      <c r="J199">
        <v>4</v>
      </c>
      <c r="K199" t="s">
        <v>4</v>
      </c>
      <c r="L199" t="s">
        <v>100</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259</v>
      </c>
      <c r="B200" t="s">
        <v>131</v>
      </c>
      <c r="C200">
        <v>3</v>
      </c>
      <c r="D200">
        <v>39.6</v>
      </c>
      <c r="E200">
        <v>118.80000000000001</v>
      </c>
      <c r="F200" s="1">
        <v>45665</v>
      </c>
      <c r="G200" s="1">
        <v>45666</v>
      </c>
      <c r="H200" t="s">
        <v>8</v>
      </c>
      <c r="I200" t="s">
        <v>25</v>
      </c>
      <c r="J200">
        <v>5</v>
      </c>
      <c r="K200" t="s">
        <v>4</v>
      </c>
      <c r="L200" t="s">
        <v>9</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260</v>
      </c>
      <c r="B201" t="s">
        <v>22</v>
      </c>
      <c r="C201">
        <v>2</v>
      </c>
      <c r="D201">
        <v>69.5</v>
      </c>
      <c r="E201">
        <v>139</v>
      </c>
      <c r="F201" s="1">
        <v>45665</v>
      </c>
      <c r="G201" s="1">
        <v>45667</v>
      </c>
      <c r="H201" t="s">
        <v>8</v>
      </c>
      <c r="I201" t="s">
        <v>3</v>
      </c>
      <c r="J201">
        <v>5</v>
      </c>
      <c r="K201" t="s">
        <v>4</v>
      </c>
      <c r="L201" t="s">
        <v>13</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261</v>
      </c>
      <c r="B202" t="s">
        <v>29</v>
      </c>
      <c r="C202">
        <v>8</v>
      </c>
      <c r="D202">
        <v>32.6</v>
      </c>
      <c r="E202">
        <v>260.8</v>
      </c>
      <c r="F202" s="1">
        <v>45665</v>
      </c>
      <c r="G202" s="1">
        <v>45668</v>
      </c>
      <c r="H202" t="s">
        <v>8</v>
      </c>
      <c r="I202" t="s">
        <v>20</v>
      </c>
      <c r="J202">
        <v>4</v>
      </c>
      <c r="K202" t="s">
        <v>4</v>
      </c>
      <c r="L202" t="s">
        <v>18</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262</v>
      </c>
      <c r="B203" t="s">
        <v>27</v>
      </c>
      <c r="C203">
        <v>2</v>
      </c>
      <c r="D203">
        <v>49.1</v>
      </c>
      <c r="E203">
        <v>98.2</v>
      </c>
      <c r="F203" s="1">
        <v>45665</v>
      </c>
      <c r="G203" s="1">
        <v>45673</v>
      </c>
      <c r="H203" t="s">
        <v>8</v>
      </c>
      <c r="I203" t="s">
        <v>36</v>
      </c>
      <c r="J203">
        <v>5</v>
      </c>
      <c r="K203" t="s">
        <v>4</v>
      </c>
      <c r="L203" t="s">
        <v>18</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263</v>
      </c>
      <c r="B204" t="s">
        <v>24</v>
      </c>
      <c r="C204">
        <v>2</v>
      </c>
      <c r="D204">
        <v>49.4</v>
      </c>
      <c r="E204">
        <v>98.8</v>
      </c>
      <c r="F204" s="1">
        <v>45666</v>
      </c>
      <c r="G204" s="1">
        <v>45667</v>
      </c>
      <c r="H204" t="s">
        <v>12</v>
      </c>
      <c r="I204" t="s">
        <v>25</v>
      </c>
      <c r="J204">
        <v>4</v>
      </c>
      <c r="K204" t="s">
        <v>4</v>
      </c>
      <c r="L204" t="s">
        <v>18</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264</v>
      </c>
      <c r="B205" t="s">
        <v>27</v>
      </c>
      <c r="C205">
        <v>7</v>
      </c>
      <c r="D205">
        <v>65.099999999999994</v>
      </c>
      <c r="E205">
        <v>455.69999999999993</v>
      </c>
      <c r="F205" s="1">
        <v>45666</v>
      </c>
      <c r="G205" s="1">
        <v>45669</v>
      </c>
      <c r="H205" t="s">
        <v>12</v>
      </c>
      <c r="I205" t="s">
        <v>25</v>
      </c>
      <c r="J205">
        <v>5</v>
      </c>
      <c r="K205" t="s">
        <v>4</v>
      </c>
      <c r="L205" t="s">
        <v>18</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265</v>
      </c>
      <c r="B206" t="s">
        <v>15</v>
      </c>
      <c r="C206">
        <v>2</v>
      </c>
      <c r="D206">
        <v>52.1</v>
      </c>
      <c r="E206">
        <v>104.2</v>
      </c>
      <c r="F206" s="1">
        <v>45666</v>
      </c>
      <c r="G206" s="1">
        <v>45670</v>
      </c>
      <c r="H206" t="s">
        <v>12</v>
      </c>
      <c r="I206" t="s">
        <v>25</v>
      </c>
      <c r="J206">
        <v>4</v>
      </c>
      <c r="K206" t="s">
        <v>4</v>
      </c>
      <c r="L206" t="s">
        <v>18</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266</v>
      </c>
      <c r="B207" t="s">
        <v>11</v>
      </c>
      <c r="C207">
        <v>4</v>
      </c>
      <c r="D207">
        <v>129.19999999999999</v>
      </c>
      <c r="E207">
        <v>516.79999999999995</v>
      </c>
      <c r="F207" s="1">
        <v>45666</v>
      </c>
      <c r="G207" s="1">
        <v>45667</v>
      </c>
      <c r="H207" t="s">
        <v>12</v>
      </c>
      <c r="I207" t="s">
        <v>20</v>
      </c>
      <c r="J207">
        <v>4</v>
      </c>
      <c r="K207" t="s">
        <v>4</v>
      </c>
      <c r="L207" t="s">
        <v>18</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267</v>
      </c>
      <c r="B208" t="s">
        <v>7</v>
      </c>
      <c r="C208">
        <v>19</v>
      </c>
      <c r="D208">
        <v>81.8</v>
      </c>
      <c r="E208">
        <v>1554.2</v>
      </c>
      <c r="F208" s="1">
        <v>45666</v>
      </c>
      <c r="G208" s="1">
        <v>45666</v>
      </c>
      <c r="H208" t="s">
        <v>12</v>
      </c>
      <c r="I208" t="s">
        <v>20</v>
      </c>
      <c r="J208">
        <v>3</v>
      </c>
      <c r="K208" t="s">
        <v>4</v>
      </c>
      <c r="L208" t="s">
        <v>18</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268</v>
      </c>
      <c r="B209" t="s">
        <v>120</v>
      </c>
      <c r="C209">
        <v>1</v>
      </c>
      <c r="D209">
        <v>24.9</v>
      </c>
      <c r="E209">
        <v>24.9</v>
      </c>
      <c r="F209" s="1">
        <v>45666</v>
      </c>
      <c r="G209" s="1">
        <v>45670</v>
      </c>
      <c r="H209" t="s">
        <v>12</v>
      </c>
      <c r="I209" t="s">
        <v>20</v>
      </c>
      <c r="J209">
        <v>4</v>
      </c>
      <c r="K209" t="s">
        <v>4</v>
      </c>
      <c r="L209" t="s">
        <v>18</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269</v>
      </c>
      <c r="B210" t="s">
        <v>1</v>
      </c>
      <c r="C210">
        <v>3</v>
      </c>
      <c r="D210">
        <v>49.4</v>
      </c>
      <c r="E210">
        <v>148.19999999999999</v>
      </c>
      <c r="F210" s="1">
        <v>45666</v>
      </c>
      <c r="G210" s="1">
        <v>45669</v>
      </c>
      <c r="H210" t="s">
        <v>12</v>
      </c>
      <c r="I210" t="s">
        <v>55</v>
      </c>
      <c r="J210">
        <v>2</v>
      </c>
      <c r="K210" t="s">
        <v>4</v>
      </c>
      <c r="L210" t="s">
        <v>18</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270</v>
      </c>
      <c r="B211" t="s">
        <v>29</v>
      </c>
      <c r="C211">
        <v>2</v>
      </c>
      <c r="D211">
        <v>22.7</v>
      </c>
      <c r="E211">
        <v>45.4</v>
      </c>
      <c r="F211" s="1">
        <v>45666</v>
      </c>
      <c r="G211" s="1">
        <v>45667</v>
      </c>
      <c r="H211" t="s">
        <v>8</v>
      </c>
      <c r="I211" t="s">
        <v>36</v>
      </c>
      <c r="J211">
        <v>5</v>
      </c>
      <c r="K211" t="s">
        <v>4</v>
      </c>
      <c r="L211" t="s">
        <v>18</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271</v>
      </c>
      <c r="B212" t="s">
        <v>7</v>
      </c>
      <c r="C212">
        <v>1</v>
      </c>
      <c r="D212">
        <v>77.3</v>
      </c>
      <c r="E212">
        <v>77.3</v>
      </c>
      <c r="F212" s="1">
        <v>45666</v>
      </c>
      <c r="G212" s="1">
        <v>45666</v>
      </c>
      <c r="H212" t="s">
        <v>12</v>
      </c>
      <c r="I212" t="s">
        <v>3</v>
      </c>
      <c r="J212">
        <v>5</v>
      </c>
      <c r="K212" t="s">
        <v>4</v>
      </c>
      <c r="L212" t="s">
        <v>40</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272</v>
      </c>
      <c r="B213" t="s">
        <v>7</v>
      </c>
      <c r="C213">
        <v>5</v>
      </c>
      <c r="D213">
        <v>109.1</v>
      </c>
      <c r="E213">
        <v>545.5</v>
      </c>
      <c r="F213" s="1">
        <v>45666</v>
      </c>
      <c r="G213" s="1">
        <v>45669</v>
      </c>
      <c r="H213" t="s">
        <v>12</v>
      </c>
      <c r="I213" t="s">
        <v>3</v>
      </c>
      <c r="J213">
        <v>4</v>
      </c>
      <c r="K213" t="s">
        <v>4</v>
      </c>
      <c r="L213" t="s">
        <v>40</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273</v>
      </c>
      <c r="B214" t="s">
        <v>11</v>
      </c>
      <c r="C214">
        <v>4</v>
      </c>
      <c r="D214">
        <v>53.9</v>
      </c>
      <c r="E214">
        <v>215.6</v>
      </c>
      <c r="F214" s="1">
        <v>45666</v>
      </c>
      <c r="G214" s="1">
        <v>45667</v>
      </c>
      <c r="H214" t="s">
        <v>8</v>
      </c>
      <c r="I214" t="s">
        <v>3</v>
      </c>
      <c r="J214">
        <v>3</v>
      </c>
      <c r="K214" t="s">
        <v>4</v>
      </c>
      <c r="L214" t="s">
        <v>47</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274</v>
      </c>
      <c r="B215" t="s">
        <v>31</v>
      </c>
      <c r="C215">
        <v>26</v>
      </c>
      <c r="D215">
        <v>21.2</v>
      </c>
      <c r="E215">
        <v>551.19999999999993</v>
      </c>
      <c r="F215" s="1">
        <v>45666</v>
      </c>
      <c r="G215" s="1">
        <v>45666</v>
      </c>
      <c r="H215" t="s">
        <v>12</v>
      </c>
      <c r="I215" t="s">
        <v>3</v>
      </c>
      <c r="J215">
        <v>4</v>
      </c>
      <c r="K215" t="s">
        <v>4</v>
      </c>
      <c r="L215" t="s">
        <v>57</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275</v>
      </c>
      <c r="B216" t="s">
        <v>113</v>
      </c>
      <c r="C216">
        <v>4</v>
      </c>
      <c r="D216">
        <v>69</v>
      </c>
      <c r="E216">
        <v>276</v>
      </c>
      <c r="F216" s="1">
        <v>45666</v>
      </c>
      <c r="G216" s="1">
        <v>45668</v>
      </c>
      <c r="H216" t="s">
        <v>12</v>
      </c>
      <c r="I216" t="s">
        <v>20</v>
      </c>
      <c r="J216">
        <v>3</v>
      </c>
      <c r="K216" t="s">
        <v>4</v>
      </c>
      <c r="L216" t="s">
        <v>93</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276</v>
      </c>
      <c r="B217" t="s">
        <v>24</v>
      </c>
      <c r="C217">
        <v>3</v>
      </c>
      <c r="D217">
        <v>46.2</v>
      </c>
      <c r="E217">
        <v>138.60000000000002</v>
      </c>
      <c r="F217" s="1">
        <v>45666</v>
      </c>
      <c r="G217" s="1">
        <v>45668</v>
      </c>
      <c r="H217" t="s">
        <v>12</v>
      </c>
      <c r="I217" t="s">
        <v>3</v>
      </c>
      <c r="J217">
        <v>5</v>
      </c>
      <c r="K217" t="s">
        <v>4</v>
      </c>
      <c r="L217" t="s">
        <v>277</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278</v>
      </c>
      <c r="B218" t="s">
        <v>7</v>
      </c>
      <c r="C218">
        <v>5</v>
      </c>
      <c r="D218">
        <v>97.4</v>
      </c>
      <c r="E218">
        <v>487</v>
      </c>
      <c r="F218" s="1">
        <v>45666</v>
      </c>
      <c r="G218" s="1">
        <v>45670</v>
      </c>
      <c r="H218" t="s">
        <v>12</v>
      </c>
      <c r="I218" t="s">
        <v>55</v>
      </c>
      <c r="J218">
        <v>5</v>
      </c>
      <c r="K218" t="s">
        <v>4</v>
      </c>
      <c r="L218" t="s">
        <v>100</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279</v>
      </c>
      <c r="B219" t="s">
        <v>29</v>
      </c>
      <c r="C219">
        <v>5</v>
      </c>
      <c r="D219">
        <v>21</v>
      </c>
      <c r="E219">
        <v>105</v>
      </c>
      <c r="F219" s="1">
        <v>45666</v>
      </c>
      <c r="G219" s="1">
        <v>45667</v>
      </c>
      <c r="H219" t="s">
        <v>8</v>
      </c>
      <c r="I219" t="s">
        <v>3</v>
      </c>
      <c r="J219">
        <v>3</v>
      </c>
      <c r="K219" t="s">
        <v>4</v>
      </c>
      <c r="L219" t="s">
        <v>100</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280</v>
      </c>
      <c r="B220" t="s">
        <v>22</v>
      </c>
      <c r="C220">
        <v>2</v>
      </c>
      <c r="D220">
        <v>32.700000000000003</v>
      </c>
      <c r="E220">
        <v>65.400000000000006</v>
      </c>
      <c r="F220" s="1">
        <v>45667</v>
      </c>
      <c r="G220" s="1">
        <v>45670</v>
      </c>
      <c r="H220" t="s">
        <v>12</v>
      </c>
      <c r="I220" t="s">
        <v>20</v>
      </c>
      <c r="J220">
        <v>4</v>
      </c>
      <c r="K220" t="s">
        <v>4</v>
      </c>
      <c r="L220" t="s">
        <v>13</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281</v>
      </c>
      <c r="B221" t="s">
        <v>24</v>
      </c>
      <c r="C221">
        <v>4</v>
      </c>
      <c r="D221">
        <v>48</v>
      </c>
      <c r="E221">
        <v>192</v>
      </c>
      <c r="F221" s="1">
        <v>45667</v>
      </c>
      <c r="G221" s="1">
        <v>45668</v>
      </c>
      <c r="H221" t="s">
        <v>8</v>
      </c>
      <c r="I221" t="s">
        <v>36</v>
      </c>
      <c r="J221">
        <v>4</v>
      </c>
      <c r="K221" t="s">
        <v>4</v>
      </c>
      <c r="L221" t="s">
        <v>18</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282</v>
      </c>
      <c r="B222" t="s">
        <v>24</v>
      </c>
      <c r="C222">
        <v>3</v>
      </c>
      <c r="D222">
        <v>68.2</v>
      </c>
      <c r="E222">
        <v>204.60000000000002</v>
      </c>
      <c r="F222" s="1">
        <v>45667</v>
      </c>
      <c r="G222" s="1">
        <v>45671</v>
      </c>
      <c r="H222" t="s">
        <v>2</v>
      </c>
      <c r="I222" t="s">
        <v>3</v>
      </c>
      <c r="J222">
        <v>5</v>
      </c>
      <c r="K222" t="s">
        <v>4</v>
      </c>
      <c r="L222" t="s">
        <v>18</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283</v>
      </c>
      <c r="B223" t="s">
        <v>22</v>
      </c>
      <c r="C223">
        <v>1</v>
      </c>
      <c r="D223">
        <v>45.4</v>
      </c>
      <c r="E223">
        <v>45.4</v>
      </c>
      <c r="F223" s="1">
        <v>45667</v>
      </c>
      <c r="G223" s="1">
        <v>45669</v>
      </c>
      <c r="H223" t="s">
        <v>8</v>
      </c>
      <c r="I223" t="s">
        <v>20</v>
      </c>
      <c r="J223">
        <v>4</v>
      </c>
      <c r="K223" t="s">
        <v>4</v>
      </c>
      <c r="L223" t="s">
        <v>18</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284</v>
      </c>
      <c r="B224" t="s">
        <v>54</v>
      </c>
      <c r="C224">
        <v>2</v>
      </c>
      <c r="D224">
        <v>53.9</v>
      </c>
      <c r="E224">
        <v>107.8</v>
      </c>
      <c r="F224" s="1">
        <v>45667</v>
      </c>
      <c r="G224" s="1">
        <v>45668</v>
      </c>
      <c r="H224" t="s">
        <v>12</v>
      </c>
      <c r="I224" t="s">
        <v>25</v>
      </c>
      <c r="J224">
        <v>4</v>
      </c>
      <c r="K224" t="s">
        <v>4</v>
      </c>
      <c r="L224" t="s">
        <v>18</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285</v>
      </c>
      <c r="B225" t="s">
        <v>11</v>
      </c>
      <c r="C225">
        <v>4</v>
      </c>
      <c r="D225">
        <v>62.1</v>
      </c>
      <c r="E225">
        <v>248.4</v>
      </c>
      <c r="F225" s="1">
        <v>45667</v>
      </c>
      <c r="G225" s="1">
        <v>45671</v>
      </c>
      <c r="H225" t="s">
        <v>12</v>
      </c>
      <c r="I225" t="s">
        <v>3</v>
      </c>
      <c r="J225">
        <v>4</v>
      </c>
      <c r="K225" t="s">
        <v>4</v>
      </c>
      <c r="L225" t="s">
        <v>34</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286</v>
      </c>
      <c r="B226" t="s">
        <v>61</v>
      </c>
      <c r="C226">
        <v>7</v>
      </c>
      <c r="D226">
        <v>33.1</v>
      </c>
      <c r="E226">
        <v>231.70000000000002</v>
      </c>
      <c r="F226" s="1">
        <v>45667</v>
      </c>
      <c r="G226" s="1">
        <v>45672</v>
      </c>
      <c r="H226" t="s">
        <v>8</v>
      </c>
      <c r="I226" t="s">
        <v>20</v>
      </c>
      <c r="J226">
        <v>4</v>
      </c>
      <c r="K226" t="s">
        <v>4</v>
      </c>
      <c r="L226" t="s">
        <v>40</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287</v>
      </c>
      <c r="B227" t="s">
        <v>131</v>
      </c>
      <c r="C227">
        <v>5</v>
      </c>
      <c r="D227">
        <v>35.200000000000003</v>
      </c>
      <c r="E227">
        <v>176</v>
      </c>
      <c r="F227" s="1">
        <v>45667</v>
      </c>
      <c r="G227" s="1">
        <v>45667</v>
      </c>
      <c r="H227" t="s">
        <v>12</v>
      </c>
      <c r="I227" t="s">
        <v>20</v>
      </c>
      <c r="J227">
        <v>4</v>
      </c>
      <c r="K227" t="s">
        <v>4</v>
      </c>
      <c r="L227" t="s">
        <v>40</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288</v>
      </c>
      <c r="B228" t="s">
        <v>31</v>
      </c>
      <c r="C228">
        <v>3</v>
      </c>
      <c r="D228">
        <v>32.1</v>
      </c>
      <c r="E228">
        <v>96.300000000000011</v>
      </c>
      <c r="F228" s="1">
        <v>45667</v>
      </c>
      <c r="G228" s="1">
        <v>45672</v>
      </c>
      <c r="H228" t="s">
        <v>8</v>
      </c>
      <c r="I228" t="s">
        <v>36</v>
      </c>
      <c r="J228">
        <v>4</v>
      </c>
      <c r="K228" t="s">
        <v>4</v>
      </c>
      <c r="L228" t="s">
        <v>47</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289</v>
      </c>
      <c r="B229" t="s">
        <v>52</v>
      </c>
      <c r="C229">
        <v>1</v>
      </c>
      <c r="D229">
        <v>38.1</v>
      </c>
      <c r="E229">
        <v>38.1</v>
      </c>
      <c r="F229" s="1">
        <v>45667</v>
      </c>
      <c r="G229" s="1">
        <v>45672</v>
      </c>
      <c r="H229" t="s">
        <v>12</v>
      </c>
      <c r="I229" t="s">
        <v>3</v>
      </c>
      <c r="J229">
        <v>5</v>
      </c>
      <c r="K229" t="s">
        <v>4</v>
      </c>
      <c r="L229" t="s">
        <v>47</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290</v>
      </c>
      <c r="B230" t="s">
        <v>29</v>
      </c>
      <c r="C230">
        <v>1</v>
      </c>
      <c r="D230">
        <v>65.2</v>
      </c>
      <c r="E230">
        <v>65.2</v>
      </c>
      <c r="F230" s="1">
        <v>45667</v>
      </c>
      <c r="G230" s="1">
        <v>45672</v>
      </c>
      <c r="H230" t="s">
        <v>12</v>
      </c>
      <c r="I230" t="s">
        <v>36</v>
      </c>
      <c r="J230">
        <v>3</v>
      </c>
      <c r="K230" t="s">
        <v>4</v>
      </c>
      <c r="L230" t="s">
        <v>47</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291</v>
      </c>
      <c r="B231" t="s">
        <v>39</v>
      </c>
      <c r="C231">
        <v>7</v>
      </c>
      <c r="D231">
        <v>55.2</v>
      </c>
      <c r="E231">
        <v>386.40000000000003</v>
      </c>
      <c r="F231" s="1">
        <v>45667</v>
      </c>
      <c r="G231" s="1">
        <v>45668</v>
      </c>
      <c r="H231" t="s">
        <v>8</v>
      </c>
      <c r="I231" t="s">
        <v>25</v>
      </c>
      <c r="J231">
        <v>4</v>
      </c>
      <c r="K231" t="s">
        <v>4</v>
      </c>
      <c r="L231" t="s">
        <v>62</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292</v>
      </c>
      <c r="B232" t="s">
        <v>24</v>
      </c>
      <c r="C232">
        <v>1</v>
      </c>
      <c r="D232">
        <v>62</v>
      </c>
      <c r="E232">
        <v>62</v>
      </c>
      <c r="F232" s="1">
        <v>45667</v>
      </c>
      <c r="G232" s="1">
        <v>45671</v>
      </c>
      <c r="H232" t="s">
        <v>12</v>
      </c>
      <c r="I232" t="s">
        <v>3</v>
      </c>
      <c r="J232">
        <v>4</v>
      </c>
      <c r="K232" t="s">
        <v>4</v>
      </c>
      <c r="L232" t="s">
        <v>62</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293</v>
      </c>
      <c r="B233" t="s">
        <v>27</v>
      </c>
      <c r="C233">
        <v>3</v>
      </c>
      <c r="D233">
        <v>45.9</v>
      </c>
      <c r="E233">
        <v>137.69999999999999</v>
      </c>
      <c r="F233" s="1">
        <v>45667</v>
      </c>
      <c r="G233" s="1">
        <v>45668</v>
      </c>
      <c r="H233" t="s">
        <v>12</v>
      </c>
      <c r="I233" t="s">
        <v>25</v>
      </c>
      <c r="J233">
        <v>4</v>
      </c>
      <c r="K233" t="s">
        <v>4</v>
      </c>
      <c r="L233" t="s">
        <v>294</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295</v>
      </c>
      <c r="B234" t="s">
        <v>131</v>
      </c>
      <c r="C234">
        <v>3</v>
      </c>
      <c r="D234">
        <v>58.3</v>
      </c>
      <c r="E234">
        <v>174.89999999999998</v>
      </c>
      <c r="F234" s="1">
        <v>45667</v>
      </c>
      <c r="G234" s="1">
        <v>45667</v>
      </c>
      <c r="H234" t="s">
        <v>8</v>
      </c>
      <c r="I234" t="s">
        <v>20</v>
      </c>
      <c r="J234">
        <v>3</v>
      </c>
      <c r="K234" t="s">
        <v>4</v>
      </c>
      <c r="L234" t="s">
        <v>93</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296</v>
      </c>
      <c r="B235" t="s">
        <v>29</v>
      </c>
      <c r="C235">
        <v>2</v>
      </c>
      <c r="D235">
        <v>22.3</v>
      </c>
      <c r="E235">
        <v>44.6</v>
      </c>
      <c r="F235" s="1">
        <v>45667</v>
      </c>
      <c r="G235" s="1">
        <v>45670</v>
      </c>
      <c r="H235" t="s">
        <v>12</v>
      </c>
      <c r="I235" t="s">
        <v>3</v>
      </c>
      <c r="J235">
        <v>5</v>
      </c>
      <c r="K235" t="s">
        <v>4</v>
      </c>
      <c r="L235" t="s">
        <v>98</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297</v>
      </c>
      <c r="B236" t="s">
        <v>156</v>
      </c>
      <c r="C236">
        <v>5</v>
      </c>
      <c r="D236">
        <v>24</v>
      </c>
      <c r="E236">
        <v>120</v>
      </c>
      <c r="F236" s="1">
        <v>45667</v>
      </c>
      <c r="G236" s="1">
        <v>45668</v>
      </c>
      <c r="H236" t="s">
        <v>8</v>
      </c>
      <c r="I236" t="s">
        <v>55</v>
      </c>
      <c r="J236">
        <v>4</v>
      </c>
      <c r="K236" t="s">
        <v>4</v>
      </c>
      <c r="L236" t="s">
        <v>9</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298</v>
      </c>
      <c r="B237" t="s">
        <v>1</v>
      </c>
      <c r="C237">
        <v>10</v>
      </c>
      <c r="D237">
        <v>21.3</v>
      </c>
      <c r="E237">
        <v>213</v>
      </c>
      <c r="F237" s="1">
        <v>45667</v>
      </c>
      <c r="G237" s="1">
        <v>45667</v>
      </c>
      <c r="H237" t="s">
        <v>12</v>
      </c>
      <c r="I237" t="s">
        <v>20</v>
      </c>
      <c r="J237">
        <v>5</v>
      </c>
      <c r="K237" t="s">
        <v>4</v>
      </c>
      <c r="L237" t="s">
        <v>132</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299</v>
      </c>
      <c r="B238" t="s">
        <v>24</v>
      </c>
      <c r="C238">
        <v>41</v>
      </c>
      <c r="D238">
        <v>57.8</v>
      </c>
      <c r="E238">
        <v>2369.7999999999997</v>
      </c>
      <c r="F238" s="1">
        <v>45667</v>
      </c>
      <c r="G238" s="1">
        <v>45669</v>
      </c>
      <c r="H238" t="s">
        <v>12</v>
      </c>
      <c r="I238" t="s">
        <v>3</v>
      </c>
      <c r="J238">
        <v>5</v>
      </c>
      <c r="K238" t="s">
        <v>4</v>
      </c>
      <c r="L238" t="s">
        <v>18</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300</v>
      </c>
      <c r="B239" t="s">
        <v>39</v>
      </c>
      <c r="C239">
        <v>3</v>
      </c>
      <c r="D239">
        <v>67.599999999999994</v>
      </c>
      <c r="E239">
        <v>202.79999999999998</v>
      </c>
      <c r="F239" s="1">
        <v>45667</v>
      </c>
      <c r="G239" s="1">
        <v>45668</v>
      </c>
      <c r="H239" t="s">
        <v>12</v>
      </c>
      <c r="I239" t="s">
        <v>3</v>
      </c>
      <c r="J239">
        <v>4</v>
      </c>
      <c r="K239" t="s">
        <v>4</v>
      </c>
      <c r="L239" t="s">
        <v>18</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301</v>
      </c>
      <c r="B240" t="s">
        <v>24</v>
      </c>
      <c r="C240">
        <v>6</v>
      </c>
      <c r="D240">
        <v>66.7</v>
      </c>
      <c r="E240">
        <v>400.20000000000005</v>
      </c>
      <c r="F240" s="1">
        <v>45667</v>
      </c>
      <c r="G240" s="1">
        <v>45671</v>
      </c>
      <c r="H240" t="s">
        <v>8</v>
      </c>
      <c r="I240" t="s">
        <v>55</v>
      </c>
      <c r="J240">
        <v>3</v>
      </c>
      <c r="K240" t="s">
        <v>4</v>
      </c>
      <c r="L240" t="s">
        <v>18</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302</v>
      </c>
      <c r="B241" t="s">
        <v>7</v>
      </c>
      <c r="C241">
        <v>4</v>
      </c>
      <c r="D241">
        <v>53.1</v>
      </c>
      <c r="E241">
        <v>212.4</v>
      </c>
      <c r="F241" s="1">
        <v>45667</v>
      </c>
      <c r="G241" s="1">
        <v>45669</v>
      </c>
      <c r="H241" t="s">
        <v>12</v>
      </c>
      <c r="I241" t="s">
        <v>20</v>
      </c>
      <c r="J241">
        <v>4</v>
      </c>
      <c r="K241" t="s">
        <v>4</v>
      </c>
      <c r="L241" t="s">
        <v>18</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303</v>
      </c>
      <c r="B242" t="s">
        <v>54</v>
      </c>
      <c r="C242">
        <v>3</v>
      </c>
      <c r="D242">
        <v>57.4</v>
      </c>
      <c r="E242">
        <v>172.2</v>
      </c>
      <c r="F242" s="1">
        <v>45667</v>
      </c>
      <c r="G242" s="1">
        <v>45670</v>
      </c>
      <c r="H242" t="s">
        <v>12</v>
      </c>
      <c r="I242" t="s">
        <v>3</v>
      </c>
      <c r="J242">
        <v>5</v>
      </c>
      <c r="K242" t="s">
        <v>4</v>
      </c>
      <c r="L242" t="s">
        <v>243</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304</v>
      </c>
      <c r="B243" t="s">
        <v>11</v>
      </c>
      <c r="C243">
        <v>5</v>
      </c>
      <c r="D243">
        <v>58.1</v>
      </c>
      <c r="E243">
        <v>290.5</v>
      </c>
      <c r="F243" s="1">
        <v>45667</v>
      </c>
      <c r="G243" s="1">
        <v>45667</v>
      </c>
      <c r="H243" t="s">
        <v>8</v>
      </c>
      <c r="I243" t="s">
        <v>25</v>
      </c>
      <c r="J243">
        <v>5</v>
      </c>
      <c r="K243" t="s">
        <v>4</v>
      </c>
      <c r="L243" t="s">
        <v>40</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305</v>
      </c>
      <c r="B244" t="s">
        <v>22</v>
      </c>
      <c r="C244">
        <v>3</v>
      </c>
      <c r="D244">
        <v>31.8</v>
      </c>
      <c r="E244">
        <v>95.4</v>
      </c>
      <c r="F244" s="1">
        <v>45668</v>
      </c>
      <c r="G244" s="1">
        <v>45670</v>
      </c>
      <c r="H244" t="s">
        <v>8</v>
      </c>
      <c r="I244" t="s">
        <v>36</v>
      </c>
      <c r="J244">
        <v>4</v>
      </c>
      <c r="K244" t="s">
        <v>4</v>
      </c>
      <c r="L244" t="s">
        <v>40</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306</v>
      </c>
      <c r="B245" t="s">
        <v>17</v>
      </c>
      <c r="C245">
        <v>3</v>
      </c>
      <c r="D245">
        <v>31.5</v>
      </c>
      <c r="E245">
        <v>94.5</v>
      </c>
      <c r="F245" s="1">
        <v>45668</v>
      </c>
      <c r="G245" s="1">
        <v>45671</v>
      </c>
      <c r="H245" t="s">
        <v>8</v>
      </c>
      <c r="I245" t="s">
        <v>3</v>
      </c>
      <c r="J245">
        <v>3</v>
      </c>
      <c r="K245" t="s">
        <v>4</v>
      </c>
      <c r="L245" t="s">
        <v>47</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307</v>
      </c>
      <c r="B246" t="s">
        <v>24</v>
      </c>
      <c r="C246">
        <v>7</v>
      </c>
      <c r="D246">
        <v>55.9</v>
      </c>
      <c r="E246">
        <v>391.3</v>
      </c>
      <c r="F246" s="1">
        <v>45668</v>
      </c>
      <c r="G246" s="1">
        <v>45672</v>
      </c>
      <c r="H246" t="s">
        <v>12</v>
      </c>
      <c r="I246" t="s">
        <v>20</v>
      </c>
      <c r="J246">
        <v>5</v>
      </c>
      <c r="K246" t="s">
        <v>4</v>
      </c>
      <c r="L246" t="s">
        <v>47</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308</v>
      </c>
      <c r="B247" t="s">
        <v>29</v>
      </c>
      <c r="C247">
        <v>2</v>
      </c>
      <c r="D247">
        <v>36.4</v>
      </c>
      <c r="E247">
        <v>72.8</v>
      </c>
      <c r="F247" s="1">
        <v>45668</v>
      </c>
      <c r="G247" s="1">
        <v>45669</v>
      </c>
      <c r="H247" t="s">
        <v>8</v>
      </c>
      <c r="I247" t="s">
        <v>20</v>
      </c>
      <c r="J247">
        <v>3</v>
      </c>
      <c r="K247" t="s">
        <v>4</v>
      </c>
      <c r="L247" t="s">
        <v>57</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309</v>
      </c>
      <c r="B248" t="s">
        <v>7</v>
      </c>
      <c r="C248">
        <v>5</v>
      </c>
      <c r="D248">
        <v>47.3</v>
      </c>
      <c r="E248">
        <v>236.5</v>
      </c>
      <c r="F248" s="1">
        <v>45668</v>
      </c>
      <c r="G248" s="1">
        <v>45671</v>
      </c>
      <c r="H248" t="s">
        <v>8</v>
      </c>
      <c r="I248" t="s">
        <v>25</v>
      </c>
      <c r="J248">
        <v>4</v>
      </c>
      <c r="K248" t="s">
        <v>4</v>
      </c>
      <c r="L248" t="s">
        <v>59</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310</v>
      </c>
      <c r="B249" t="s">
        <v>24</v>
      </c>
      <c r="C249">
        <v>3</v>
      </c>
      <c r="D249">
        <v>82.5</v>
      </c>
      <c r="E249">
        <v>247.5</v>
      </c>
      <c r="F249" s="1">
        <v>45668</v>
      </c>
      <c r="G249" s="1">
        <v>45669</v>
      </c>
      <c r="H249" t="s">
        <v>8</v>
      </c>
      <c r="I249" t="s">
        <v>3</v>
      </c>
      <c r="J249">
        <v>4</v>
      </c>
      <c r="K249" t="s">
        <v>4</v>
      </c>
      <c r="L249" t="s">
        <v>62</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311</v>
      </c>
      <c r="B250" t="s">
        <v>1</v>
      </c>
      <c r="C250">
        <v>1</v>
      </c>
      <c r="D250">
        <v>14.3</v>
      </c>
      <c r="E250">
        <v>14.3</v>
      </c>
      <c r="F250" s="1">
        <v>45668</v>
      </c>
      <c r="G250" s="1">
        <v>45669</v>
      </c>
      <c r="H250" t="s">
        <v>12</v>
      </c>
      <c r="I250" t="s">
        <v>3</v>
      </c>
      <c r="J250">
        <v>4</v>
      </c>
      <c r="K250" t="s">
        <v>4</v>
      </c>
      <c r="L250" t="s">
        <v>100</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312</v>
      </c>
      <c r="B251" t="s">
        <v>11</v>
      </c>
      <c r="C251">
        <v>6</v>
      </c>
      <c r="D251">
        <v>57.6</v>
      </c>
      <c r="E251">
        <v>345.6</v>
      </c>
      <c r="F251" s="1">
        <v>45668</v>
      </c>
      <c r="G251" s="1">
        <v>45682</v>
      </c>
      <c r="H251" t="s">
        <v>12</v>
      </c>
      <c r="I251" t="s">
        <v>3</v>
      </c>
      <c r="J251">
        <v>4</v>
      </c>
      <c r="K251" t="s">
        <v>4</v>
      </c>
      <c r="L251" t="s">
        <v>100</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313</v>
      </c>
      <c r="B252" t="s">
        <v>11</v>
      </c>
      <c r="C252">
        <v>3</v>
      </c>
      <c r="D252">
        <v>142.4</v>
      </c>
      <c r="E252">
        <v>427.20000000000005</v>
      </c>
      <c r="F252" s="1">
        <v>45668</v>
      </c>
      <c r="G252" s="1">
        <v>45670</v>
      </c>
      <c r="H252" t="s">
        <v>8</v>
      </c>
      <c r="I252" t="s">
        <v>55</v>
      </c>
      <c r="J252">
        <v>3</v>
      </c>
      <c r="K252" t="s">
        <v>4</v>
      </c>
      <c r="L252" t="s">
        <v>100</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314</v>
      </c>
      <c r="B253" t="s">
        <v>54</v>
      </c>
      <c r="C253">
        <v>1</v>
      </c>
      <c r="D253">
        <v>30.2</v>
      </c>
      <c r="E253">
        <v>30.2</v>
      </c>
      <c r="F253" s="1">
        <v>45668</v>
      </c>
      <c r="G253" s="1">
        <v>45672</v>
      </c>
      <c r="H253" t="s">
        <v>8</v>
      </c>
      <c r="I253" t="s">
        <v>20</v>
      </c>
      <c r="J253">
        <v>5</v>
      </c>
      <c r="K253" t="s">
        <v>4</v>
      </c>
      <c r="L253" t="s">
        <v>13</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315</v>
      </c>
      <c r="B254" t="s">
        <v>131</v>
      </c>
      <c r="C254">
        <v>3</v>
      </c>
      <c r="D254">
        <v>65.3</v>
      </c>
      <c r="E254">
        <v>195.89999999999998</v>
      </c>
      <c r="F254" s="1">
        <v>45668</v>
      </c>
      <c r="G254" s="1">
        <v>45669</v>
      </c>
      <c r="H254" t="s">
        <v>74</v>
      </c>
      <c r="I254" t="s">
        <v>20</v>
      </c>
      <c r="J254">
        <v>4</v>
      </c>
      <c r="K254" t="s">
        <v>4</v>
      </c>
      <c r="L254" t="s">
        <v>316</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317</v>
      </c>
      <c r="B255" t="s">
        <v>1</v>
      </c>
      <c r="C255">
        <v>2</v>
      </c>
      <c r="D255">
        <v>33.4</v>
      </c>
      <c r="E255">
        <v>66.8</v>
      </c>
      <c r="F255" s="1">
        <v>45668</v>
      </c>
      <c r="G255" s="1">
        <v>45669</v>
      </c>
      <c r="H255" t="s">
        <v>8</v>
      </c>
      <c r="I255" t="s">
        <v>20</v>
      </c>
      <c r="J255">
        <v>3</v>
      </c>
      <c r="K255" t="s">
        <v>4</v>
      </c>
      <c r="L255" t="s">
        <v>132</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318</v>
      </c>
      <c r="B256" t="s">
        <v>27</v>
      </c>
      <c r="C256">
        <v>2</v>
      </c>
      <c r="D256">
        <v>45.1</v>
      </c>
      <c r="E256">
        <v>90.2</v>
      </c>
      <c r="F256" s="1">
        <v>45668</v>
      </c>
      <c r="G256" s="1">
        <v>45676</v>
      </c>
      <c r="H256" t="s">
        <v>8</v>
      </c>
      <c r="I256" t="s">
        <v>3</v>
      </c>
      <c r="J256">
        <v>4</v>
      </c>
      <c r="K256" t="s">
        <v>4</v>
      </c>
      <c r="L256" t="s">
        <v>319</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320</v>
      </c>
      <c r="B257" t="s">
        <v>11</v>
      </c>
      <c r="C257">
        <v>7</v>
      </c>
      <c r="D257">
        <v>61.7</v>
      </c>
      <c r="E257">
        <v>431.90000000000003</v>
      </c>
      <c r="F257" s="1">
        <v>45668</v>
      </c>
      <c r="G257" s="1">
        <v>45670</v>
      </c>
      <c r="H257" t="s">
        <v>12</v>
      </c>
      <c r="I257" t="s">
        <v>55</v>
      </c>
      <c r="J257">
        <v>4</v>
      </c>
      <c r="K257" t="s">
        <v>4</v>
      </c>
      <c r="L257" t="s">
        <v>18</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321</v>
      </c>
      <c r="B258" t="s">
        <v>31</v>
      </c>
      <c r="C258">
        <v>3</v>
      </c>
      <c r="D258">
        <v>45.1</v>
      </c>
      <c r="E258">
        <v>135.30000000000001</v>
      </c>
      <c r="F258" s="1">
        <v>45669</v>
      </c>
      <c r="G258" s="1">
        <v>45670</v>
      </c>
      <c r="H258" t="s">
        <v>8</v>
      </c>
      <c r="I258" t="s">
        <v>55</v>
      </c>
      <c r="J258">
        <v>3</v>
      </c>
      <c r="K258" t="s">
        <v>4</v>
      </c>
      <c r="L258" t="s">
        <v>18</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322</v>
      </c>
      <c r="B259" t="s">
        <v>108</v>
      </c>
      <c r="C259">
        <v>5</v>
      </c>
      <c r="D259">
        <v>22.7</v>
      </c>
      <c r="E259">
        <v>113.5</v>
      </c>
      <c r="F259" s="1">
        <v>45669</v>
      </c>
      <c r="G259" s="1">
        <v>45674</v>
      </c>
      <c r="H259" t="s">
        <v>8</v>
      </c>
      <c r="I259" t="s">
        <v>3</v>
      </c>
      <c r="J259">
        <v>5</v>
      </c>
      <c r="K259" t="s">
        <v>4</v>
      </c>
      <c r="L259" t="s">
        <v>323</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324</v>
      </c>
      <c r="B260" t="s">
        <v>29</v>
      </c>
      <c r="C260">
        <v>1</v>
      </c>
      <c r="D260">
        <v>17.600000000000001</v>
      </c>
      <c r="E260">
        <v>17.600000000000001</v>
      </c>
      <c r="F260" s="1">
        <v>45669</v>
      </c>
      <c r="G260" s="1">
        <v>45670</v>
      </c>
      <c r="H260" t="s">
        <v>12</v>
      </c>
      <c r="I260" t="s">
        <v>3</v>
      </c>
      <c r="J260">
        <v>5</v>
      </c>
      <c r="K260" t="s">
        <v>4</v>
      </c>
      <c r="L260" t="s">
        <v>143</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325</v>
      </c>
      <c r="B261" t="s">
        <v>66</v>
      </c>
      <c r="C261">
        <v>2</v>
      </c>
      <c r="D261">
        <v>11.3</v>
      </c>
      <c r="E261">
        <v>22.6</v>
      </c>
      <c r="F261" s="1">
        <v>45669</v>
      </c>
      <c r="G261" s="1">
        <v>45672</v>
      </c>
      <c r="H261" t="s">
        <v>12</v>
      </c>
      <c r="I261" t="s">
        <v>36</v>
      </c>
      <c r="J261">
        <v>5</v>
      </c>
      <c r="K261" t="s">
        <v>4</v>
      </c>
      <c r="L261" t="s">
        <v>143</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326</v>
      </c>
      <c r="B262" t="s">
        <v>24</v>
      </c>
      <c r="C262">
        <v>3</v>
      </c>
      <c r="D262">
        <v>53.4</v>
      </c>
      <c r="E262">
        <v>160.19999999999999</v>
      </c>
      <c r="F262" s="1">
        <v>45669</v>
      </c>
      <c r="G262" s="1">
        <v>45672</v>
      </c>
      <c r="H262" t="s">
        <v>8</v>
      </c>
      <c r="I262" t="s">
        <v>36</v>
      </c>
      <c r="J262">
        <v>5</v>
      </c>
      <c r="K262" t="s">
        <v>4</v>
      </c>
      <c r="L262" t="s">
        <v>327</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328</v>
      </c>
      <c r="B263" t="s">
        <v>24</v>
      </c>
      <c r="C263">
        <v>11</v>
      </c>
      <c r="D263">
        <v>51.1</v>
      </c>
      <c r="E263">
        <v>562.1</v>
      </c>
      <c r="F263" s="1">
        <v>45669</v>
      </c>
      <c r="G263" s="1">
        <v>45671</v>
      </c>
      <c r="H263" t="s">
        <v>12</v>
      </c>
      <c r="I263" t="s">
        <v>25</v>
      </c>
      <c r="J263">
        <v>5</v>
      </c>
      <c r="K263" t="s">
        <v>4</v>
      </c>
      <c r="L263" t="s">
        <v>47</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329</v>
      </c>
      <c r="B264" t="s">
        <v>29</v>
      </c>
      <c r="C264">
        <v>2</v>
      </c>
      <c r="D264">
        <v>27.5</v>
      </c>
      <c r="E264">
        <v>55</v>
      </c>
      <c r="F264" s="1">
        <v>45669</v>
      </c>
      <c r="G264" s="1">
        <v>45670</v>
      </c>
      <c r="H264" t="s">
        <v>8</v>
      </c>
      <c r="I264" t="s">
        <v>55</v>
      </c>
      <c r="J264">
        <v>3</v>
      </c>
      <c r="K264" t="s">
        <v>4</v>
      </c>
      <c r="L264" t="s">
        <v>47</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330</v>
      </c>
      <c r="B265" t="s">
        <v>31</v>
      </c>
      <c r="C265">
        <v>1</v>
      </c>
      <c r="D265">
        <v>33.5</v>
      </c>
      <c r="E265">
        <v>33.5</v>
      </c>
      <c r="F265" s="1">
        <v>45669</v>
      </c>
      <c r="G265" s="1">
        <v>45671</v>
      </c>
      <c r="H265" t="s">
        <v>12</v>
      </c>
      <c r="I265" t="s">
        <v>3</v>
      </c>
      <c r="J265">
        <v>2</v>
      </c>
      <c r="K265" t="s">
        <v>4</v>
      </c>
      <c r="L265" t="s">
        <v>47</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331</v>
      </c>
      <c r="B266" t="s">
        <v>17</v>
      </c>
      <c r="C266">
        <v>1</v>
      </c>
      <c r="D266">
        <v>59.5</v>
      </c>
      <c r="E266">
        <v>59.5</v>
      </c>
      <c r="F266" s="1">
        <v>45669</v>
      </c>
      <c r="G266" s="1">
        <v>45669</v>
      </c>
      <c r="H266" t="s">
        <v>8</v>
      </c>
      <c r="I266" t="s">
        <v>3</v>
      </c>
      <c r="J266">
        <v>5</v>
      </c>
      <c r="K266" t="s">
        <v>4</v>
      </c>
      <c r="L266" t="s">
        <v>93</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332</v>
      </c>
      <c r="B267" t="s">
        <v>120</v>
      </c>
      <c r="C267">
        <v>4</v>
      </c>
      <c r="D267">
        <v>23.5</v>
      </c>
      <c r="E267">
        <v>94</v>
      </c>
      <c r="F267" s="1">
        <v>45669</v>
      </c>
      <c r="G267" s="1">
        <v>45670</v>
      </c>
      <c r="H267" t="s">
        <v>12</v>
      </c>
      <c r="I267" t="s">
        <v>36</v>
      </c>
      <c r="J267">
        <v>1</v>
      </c>
      <c r="K267" t="s">
        <v>4</v>
      </c>
      <c r="L267" t="s">
        <v>95</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333</v>
      </c>
      <c r="B268" t="s">
        <v>24</v>
      </c>
      <c r="C268">
        <v>1</v>
      </c>
      <c r="D268">
        <v>49.7</v>
      </c>
      <c r="E268">
        <v>49.7</v>
      </c>
      <c r="F268" s="1">
        <v>45669</v>
      </c>
      <c r="G268" s="1">
        <v>45670</v>
      </c>
      <c r="H268" t="s">
        <v>2</v>
      </c>
      <c r="I268" t="s">
        <v>20</v>
      </c>
      <c r="J268">
        <v>5</v>
      </c>
      <c r="K268" t="s">
        <v>4</v>
      </c>
      <c r="L268" t="s">
        <v>98</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334</v>
      </c>
      <c r="B269" t="s">
        <v>24</v>
      </c>
      <c r="C269">
        <v>4</v>
      </c>
      <c r="D269">
        <v>44.2</v>
      </c>
      <c r="E269">
        <v>176.8</v>
      </c>
      <c r="F269" s="1">
        <v>45669</v>
      </c>
      <c r="G269" s="1">
        <v>45672</v>
      </c>
      <c r="H269" t="s">
        <v>12</v>
      </c>
      <c r="I269" t="s">
        <v>3</v>
      </c>
      <c r="J269">
        <v>5</v>
      </c>
      <c r="K269" t="s">
        <v>4</v>
      </c>
      <c r="L269" t="s">
        <v>100</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335</v>
      </c>
      <c r="B270" t="s">
        <v>29</v>
      </c>
      <c r="C270">
        <v>1</v>
      </c>
      <c r="D270">
        <v>22.1</v>
      </c>
      <c r="E270">
        <v>22.1</v>
      </c>
      <c r="F270" s="1">
        <v>45669</v>
      </c>
      <c r="G270" s="1">
        <v>45673</v>
      </c>
      <c r="H270" t="s">
        <v>12</v>
      </c>
      <c r="I270" t="s">
        <v>20</v>
      </c>
      <c r="J270">
        <v>3</v>
      </c>
      <c r="K270" t="s">
        <v>4</v>
      </c>
      <c r="L270" t="s">
        <v>316</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336</v>
      </c>
      <c r="B271" t="s">
        <v>24</v>
      </c>
      <c r="C271">
        <v>3</v>
      </c>
      <c r="D271">
        <v>90.9</v>
      </c>
      <c r="E271">
        <v>272.70000000000005</v>
      </c>
      <c r="F271" s="1">
        <v>45669</v>
      </c>
      <c r="G271" s="1">
        <v>45670</v>
      </c>
      <c r="H271" t="s">
        <v>12</v>
      </c>
      <c r="I271" t="s">
        <v>25</v>
      </c>
      <c r="J271">
        <v>2</v>
      </c>
      <c r="K271" t="s">
        <v>4</v>
      </c>
      <c r="L271" t="s">
        <v>18</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337</v>
      </c>
      <c r="B272" t="s">
        <v>29</v>
      </c>
      <c r="C272">
        <v>3</v>
      </c>
      <c r="D272">
        <v>44.5</v>
      </c>
      <c r="E272">
        <v>133.5</v>
      </c>
      <c r="F272" s="1">
        <v>45669</v>
      </c>
      <c r="G272" s="1">
        <v>45670</v>
      </c>
      <c r="H272" t="s">
        <v>12</v>
      </c>
      <c r="I272" t="s">
        <v>20</v>
      </c>
      <c r="J272">
        <v>4</v>
      </c>
      <c r="K272" t="s">
        <v>4</v>
      </c>
      <c r="L272" t="s">
        <v>18</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338</v>
      </c>
      <c r="B273" t="s">
        <v>31</v>
      </c>
      <c r="C273">
        <v>6</v>
      </c>
      <c r="D273">
        <v>32.299999999999997</v>
      </c>
      <c r="E273">
        <v>193.79999999999998</v>
      </c>
      <c r="F273" s="1">
        <v>45669</v>
      </c>
      <c r="G273" s="1">
        <v>45673</v>
      </c>
      <c r="H273" t="s">
        <v>12</v>
      </c>
      <c r="I273" t="s">
        <v>3</v>
      </c>
      <c r="J273">
        <v>4</v>
      </c>
      <c r="K273" t="s">
        <v>4</v>
      </c>
      <c r="L273" t="s">
        <v>18</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339</v>
      </c>
      <c r="B274" t="s">
        <v>120</v>
      </c>
      <c r="C274">
        <v>3</v>
      </c>
      <c r="D274">
        <v>87.5</v>
      </c>
      <c r="E274">
        <v>262.5</v>
      </c>
      <c r="F274" s="1">
        <v>45669</v>
      </c>
      <c r="G274" s="1">
        <v>45670</v>
      </c>
      <c r="H274" t="s">
        <v>12</v>
      </c>
      <c r="I274" t="s">
        <v>20</v>
      </c>
      <c r="J274">
        <v>3</v>
      </c>
      <c r="K274" t="s">
        <v>4</v>
      </c>
      <c r="L274" t="s">
        <v>18</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340</v>
      </c>
      <c r="B275" t="s">
        <v>113</v>
      </c>
      <c r="C275">
        <v>5</v>
      </c>
      <c r="D275">
        <v>48.7</v>
      </c>
      <c r="E275">
        <v>243.5</v>
      </c>
      <c r="F275" s="1">
        <v>45669</v>
      </c>
      <c r="G275" s="1">
        <v>45670</v>
      </c>
      <c r="H275" t="s">
        <v>8</v>
      </c>
      <c r="I275" t="s">
        <v>25</v>
      </c>
      <c r="J275">
        <v>4</v>
      </c>
      <c r="K275" t="s">
        <v>4</v>
      </c>
      <c r="L275" t="s">
        <v>18</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341</v>
      </c>
      <c r="B276" t="s">
        <v>1</v>
      </c>
      <c r="C276">
        <v>5</v>
      </c>
      <c r="D276">
        <v>22.5</v>
      </c>
      <c r="E276">
        <v>112.5</v>
      </c>
      <c r="F276" s="1">
        <v>45669</v>
      </c>
      <c r="G276" s="1">
        <v>45670</v>
      </c>
      <c r="H276" t="s">
        <v>8</v>
      </c>
      <c r="I276" t="s">
        <v>3</v>
      </c>
      <c r="J276">
        <v>4</v>
      </c>
      <c r="K276" t="s">
        <v>4</v>
      </c>
      <c r="L276" t="s">
        <v>18</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342</v>
      </c>
      <c r="B277" t="s">
        <v>7</v>
      </c>
      <c r="C277">
        <v>8</v>
      </c>
      <c r="D277">
        <v>65.900000000000006</v>
      </c>
      <c r="E277">
        <v>527.20000000000005</v>
      </c>
      <c r="F277" s="1">
        <v>45669</v>
      </c>
      <c r="G277" s="1">
        <v>45672</v>
      </c>
      <c r="H277" t="s">
        <v>12</v>
      </c>
      <c r="I277" t="s">
        <v>20</v>
      </c>
      <c r="J277">
        <v>5</v>
      </c>
      <c r="K277" t="s">
        <v>4</v>
      </c>
      <c r="L277" t="s">
        <v>18</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343</v>
      </c>
      <c r="B278" t="s">
        <v>24</v>
      </c>
      <c r="C278">
        <v>5</v>
      </c>
      <c r="D278">
        <v>41.9</v>
      </c>
      <c r="E278">
        <v>209.5</v>
      </c>
      <c r="F278" s="1">
        <v>45669</v>
      </c>
      <c r="G278" s="1">
        <v>45676</v>
      </c>
      <c r="H278" t="s">
        <v>2</v>
      </c>
      <c r="I278" t="s">
        <v>3</v>
      </c>
      <c r="J278">
        <v>4</v>
      </c>
      <c r="K278" t="s">
        <v>4</v>
      </c>
      <c r="L278" t="s">
        <v>18</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344</v>
      </c>
      <c r="B279" t="s">
        <v>7</v>
      </c>
      <c r="C279">
        <v>5</v>
      </c>
      <c r="D279">
        <v>67.5</v>
      </c>
      <c r="E279">
        <v>337.5</v>
      </c>
      <c r="F279" s="1">
        <v>45669</v>
      </c>
      <c r="G279" s="1">
        <v>45670</v>
      </c>
      <c r="H279" t="s">
        <v>12</v>
      </c>
      <c r="I279" t="s">
        <v>3</v>
      </c>
      <c r="J279">
        <v>5</v>
      </c>
      <c r="K279" t="s">
        <v>4</v>
      </c>
      <c r="L279" t="s">
        <v>18</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345</v>
      </c>
      <c r="B280" t="s">
        <v>31</v>
      </c>
      <c r="C280">
        <v>1</v>
      </c>
      <c r="D280">
        <v>60.4</v>
      </c>
      <c r="E280">
        <v>60.4</v>
      </c>
      <c r="F280" s="1">
        <v>45670</v>
      </c>
      <c r="G280" s="1">
        <v>45672</v>
      </c>
      <c r="H280" t="s">
        <v>12</v>
      </c>
      <c r="I280" t="s">
        <v>20</v>
      </c>
      <c r="J280">
        <v>3</v>
      </c>
      <c r="K280" t="s">
        <v>4</v>
      </c>
      <c r="L280" t="s">
        <v>18</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346</v>
      </c>
      <c r="B281" t="s">
        <v>7</v>
      </c>
      <c r="C281">
        <v>7</v>
      </c>
      <c r="D281">
        <v>30.4</v>
      </c>
      <c r="E281">
        <v>212.79999999999998</v>
      </c>
      <c r="F281" s="1">
        <v>45670</v>
      </c>
      <c r="G281" s="1">
        <v>45673</v>
      </c>
      <c r="H281" t="s">
        <v>12</v>
      </c>
      <c r="I281" t="s">
        <v>55</v>
      </c>
      <c r="J281">
        <v>4</v>
      </c>
      <c r="K281" t="s">
        <v>4</v>
      </c>
      <c r="L281" t="s">
        <v>18</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347</v>
      </c>
      <c r="B282" t="s">
        <v>66</v>
      </c>
      <c r="C282">
        <v>2</v>
      </c>
      <c r="D282">
        <v>24.5</v>
      </c>
      <c r="E282">
        <v>49</v>
      </c>
      <c r="F282" s="1">
        <v>45670</v>
      </c>
      <c r="G282" s="1">
        <v>45671</v>
      </c>
      <c r="H282" t="s">
        <v>8</v>
      </c>
      <c r="I282" t="s">
        <v>36</v>
      </c>
      <c r="J282">
        <v>5</v>
      </c>
      <c r="K282" t="s">
        <v>4</v>
      </c>
      <c r="L282" t="s">
        <v>18</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348</v>
      </c>
      <c r="B283" t="s">
        <v>11</v>
      </c>
      <c r="C283">
        <v>3</v>
      </c>
      <c r="D283">
        <v>105.9</v>
      </c>
      <c r="E283">
        <v>317.70000000000005</v>
      </c>
      <c r="F283" s="1">
        <v>45670</v>
      </c>
      <c r="G283" s="1">
        <v>45675</v>
      </c>
      <c r="H283" t="s">
        <v>8</v>
      </c>
      <c r="I283" t="s">
        <v>3</v>
      </c>
      <c r="J283">
        <v>4</v>
      </c>
      <c r="K283" t="s">
        <v>4</v>
      </c>
      <c r="L283" t="s">
        <v>349</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350</v>
      </c>
      <c r="B284" t="s">
        <v>39</v>
      </c>
      <c r="C284">
        <v>24</v>
      </c>
      <c r="D284">
        <v>25.9</v>
      </c>
      <c r="E284">
        <v>621.59999999999991</v>
      </c>
      <c r="F284" s="1">
        <v>45670</v>
      </c>
      <c r="G284" s="1">
        <v>45671</v>
      </c>
      <c r="H284" t="s">
        <v>12</v>
      </c>
      <c r="I284" t="s">
        <v>55</v>
      </c>
      <c r="J284">
        <v>4</v>
      </c>
      <c r="K284" t="s">
        <v>4</v>
      </c>
      <c r="L284" t="s">
        <v>143</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351</v>
      </c>
      <c r="B285" t="s">
        <v>24</v>
      </c>
      <c r="C285">
        <v>3</v>
      </c>
      <c r="D285">
        <v>66.8</v>
      </c>
      <c r="E285">
        <v>200.39999999999998</v>
      </c>
      <c r="F285" s="1">
        <v>45670</v>
      </c>
      <c r="G285" s="1">
        <v>45670</v>
      </c>
      <c r="H285" t="s">
        <v>8</v>
      </c>
      <c r="I285" t="s">
        <v>3</v>
      </c>
      <c r="J285">
        <v>4</v>
      </c>
      <c r="K285" t="s">
        <v>4</v>
      </c>
      <c r="L285" t="s">
        <v>143</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352</v>
      </c>
      <c r="B286" t="s">
        <v>24</v>
      </c>
      <c r="C286">
        <v>3</v>
      </c>
      <c r="D286">
        <v>112.3</v>
      </c>
      <c r="E286">
        <v>336.9</v>
      </c>
      <c r="F286" s="1">
        <v>45670</v>
      </c>
      <c r="G286" s="1">
        <v>45671</v>
      </c>
      <c r="H286" t="s">
        <v>8</v>
      </c>
      <c r="I286" t="s">
        <v>25</v>
      </c>
      <c r="J286">
        <v>2</v>
      </c>
      <c r="K286" t="s">
        <v>4</v>
      </c>
      <c r="L286" t="s">
        <v>40</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353</v>
      </c>
      <c r="B287" t="s">
        <v>7</v>
      </c>
      <c r="C287">
        <v>6</v>
      </c>
      <c r="D287">
        <v>94.1</v>
      </c>
      <c r="E287">
        <v>564.59999999999991</v>
      </c>
      <c r="F287" s="1">
        <v>45670</v>
      </c>
      <c r="G287" s="1">
        <v>45671</v>
      </c>
      <c r="H287" t="s">
        <v>12</v>
      </c>
      <c r="I287" t="s">
        <v>3</v>
      </c>
      <c r="J287">
        <v>2</v>
      </c>
      <c r="K287" t="s">
        <v>4</v>
      </c>
      <c r="L287" t="s">
        <v>40</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354</v>
      </c>
      <c r="B288" t="s">
        <v>22</v>
      </c>
      <c r="C288">
        <v>1</v>
      </c>
      <c r="D288">
        <v>40.700000000000003</v>
      </c>
      <c r="E288">
        <v>40.700000000000003</v>
      </c>
      <c r="F288" s="1">
        <v>45670</v>
      </c>
      <c r="G288" s="1">
        <v>45673</v>
      </c>
      <c r="H288" t="s">
        <v>12</v>
      </c>
      <c r="I288" t="s">
        <v>25</v>
      </c>
      <c r="J288">
        <v>4</v>
      </c>
      <c r="K288" t="s">
        <v>4</v>
      </c>
      <c r="L288" t="s">
        <v>40</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355</v>
      </c>
      <c r="B289" t="s">
        <v>15</v>
      </c>
      <c r="C289">
        <v>2</v>
      </c>
      <c r="D289">
        <v>71.400000000000006</v>
      </c>
      <c r="E289">
        <v>142.80000000000001</v>
      </c>
      <c r="F289" s="1">
        <v>45670</v>
      </c>
      <c r="G289" s="1">
        <v>45671</v>
      </c>
      <c r="H289" t="s">
        <v>8</v>
      </c>
      <c r="I289" t="s">
        <v>3</v>
      </c>
      <c r="J289">
        <v>4</v>
      </c>
      <c r="K289" t="s">
        <v>4</v>
      </c>
      <c r="L289" t="s">
        <v>44</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356</v>
      </c>
      <c r="B290" t="s">
        <v>1</v>
      </c>
      <c r="C290">
        <v>18</v>
      </c>
      <c r="D290">
        <v>15.6</v>
      </c>
      <c r="E290">
        <v>280.8</v>
      </c>
      <c r="F290" s="1">
        <v>45670</v>
      </c>
      <c r="G290" s="1">
        <v>45671</v>
      </c>
      <c r="H290" t="s">
        <v>8</v>
      </c>
      <c r="I290" t="s">
        <v>20</v>
      </c>
      <c r="J290">
        <v>1</v>
      </c>
      <c r="K290" t="s">
        <v>4</v>
      </c>
      <c r="L290" t="s">
        <v>47</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357</v>
      </c>
      <c r="B291" t="s">
        <v>39</v>
      </c>
      <c r="C291">
        <v>4</v>
      </c>
      <c r="D291">
        <v>37.799999999999997</v>
      </c>
      <c r="E291">
        <v>151.19999999999999</v>
      </c>
      <c r="F291" s="1">
        <v>45670</v>
      </c>
      <c r="G291" s="1">
        <v>45671</v>
      </c>
      <c r="H291" t="s">
        <v>8</v>
      </c>
      <c r="I291" t="s">
        <v>25</v>
      </c>
      <c r="J291">
        <v>5</v>
      </c>
      <c r="K291" t="s">
        <v>4</v>
      </c>
      <c r="L291" t="s">
        <v>47</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358</v>
      </c>
      <c r="B292" t="s">
        <v>17</v>
      </c>
      <c r="C292">
        <v>3</v>
      </c>
      <c r="D292">
        <v>28.1</v>
      </c>
      <c r="E292">
        <v>84.300000000000011</v>
      </c>
      <c r="F292" s="1">
        <v>45670</v>
      </c>
      <c r="G292" s="1">
        <v>45674</v>
      </c>
      <c r="H292" t="s">
        <v>8</v>
      </c>
      <c r="I292" t="s">
        <v>3</v>
      </c>
      <c r="J292">
        <v>4</v>
      </c>
      <c r="K292" t="s">
        <v>4</v>
      </c>
      <c r="L292" t="s">
        <v>47</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359</v>
      </c>
      <c r="B293" t="s">
        <v>27</v>
      </c>
      <c r="C293">
        <v>6</v>
      </c>
      <c r="D293">
        <v>51.4</v>
      </c>
      <c r="E293">
        <v>308.39999999999998</v>
      </c>
      <c r="F293" s="1">
        <v>45670</v>
      </c>
      <c r="G293" s="1">
        <v>45674</v>
      </c>
      <c r="H293" t="s">
        <v>8</v>
      </c>
      <c r="I293" t="s">
        <v>3</v>
      </c>
      <c r="J293">
        <v>4</v>
      </c>
      <c r="K293" t="s">
        <v>4</v>
      </c>
      <c r="L293" t="s">
        <v>47</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360</v>
      </c>
      <c r="B294" t="s">
        <v>27</v>
      </c>
      <c r="C294">
        <v>2</v>
      </c>
      <c r="D294">
        <v>97.7</v>
      </c>
      <c r="E294">
        <v>195.4</v>
      </c>
      <c r="F294" s="1">
        <v>45670</v>
      </c>
      <c r="G294" s="1">
        <v>45672</v>
      </c>
      <c r="H294" t="s">
        <v>12</v>
      </c>
      <c r="I294" t="s">
        <v>55</v>
      </c>
      <c r="J294">
        <v>5</v>
      </c>
      <c r="K294" t="s">
        <v>4</v>
      </c>
      <c r="L294" t="s">
        <v>88</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361</v>
      </c>
      <c r="B295" t="s">
        <v>7</v>
      </c>
      <c r="C295">
        <v>4</v>
      </c>
      <c r="D295">
        <v>63.8</v>
      </c>
      <c r="E295">
        <v>255.2</v>
      </c>
      <c r="F295" s="1">
        <v>45670</v>
      </c>
      <c r="G295" s="1">
        <v>45671</v>
      </c>
      <c r="H295" t="s">
        <v>8</v>
      </c>
      <c r="I295" t="s">
        <v>25</v>
      </c>
      <c r="J295">
        <v>4</v>
      </c>
      <c r="K295" t="s">
        <v>4</v>
      </c>
      <c r="L295" t="s">
        <v>362</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363</v>
      </c>
      <c r="B296" t="s">
        <v>61</v>
      </c>
      <c r="C296">
        <v>2</v>
      </c>
      <c r="D296">
        <v>20.100000000000001</v>
      </c>
      <c r="E296">
        <v>40.200000000000003</v>
      </c>
      <c r="F296" s="1">
        <v>45670</v>
      </c>
      <c r="G296" s="1">
        <v>45672</v>
      </c>
      <c r="H296" t="s">
        <v>8</v>
      </c>
      <c r="I296" t="s">
        <v>3</v>
      </c>
      <c r="J296">
        <v>5</v>
      </c>
      <c r="K296" t="s">
        <v>4</v>
      </c>
      <c r="L296" t="s">
        <v>98</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364</v>
      </c>
      <c r="B297" t="s">
        <v>52</v>
      </c>
      <c r="C297">
        <v>3</v>
      </c>
      <c r="D297">
        <v>50.4</v>
      </c>
      <c r="E297">
        <v>151.19999999999999</v>
      </c>
      <c r="F297" s="1">
        <v>45670</v>
      </c>
      <c r="G297" s="1">
        <v>45673</v>
      </c>
      <c r="H297" t="s">
        <v>12</v>
      </c>
      <c r="I297" t="s">
        <v>36</v>
      </c>
      <c r="J297">
        <v>4</v>
      </c>
      <c r="K297" t="s">
        <v>4</v>
      </c>
      <c r="L297" t="s">
        <v>67</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365</v>
      </c>
      <c r="B298" t="s">
        <v>1</v>
      </c>
      <c r="C298">
        <v>1</v>
      </c>
      <c r="D298">
        <v>16.2</v>
      </c>
      <c r="E298">
        <v>16.2</v>
      </c>
      <c r="F298" s="1">
        <v>45670</v>
      </c>
      <c r="G298" s="1">
        <v>45683</v>
      </c>
      <c r="H298" t="s">
        <v>12</v>
      </c>
      <c r="I298" t="s">
        <v>20</v>
      </c>
      <c r="J298">
        <v>4</v>
      </c>
      <c r="K298" t="s">
        <v>4</v>
      </c>
      <c r="L298" t="s">
        <v>9</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366</v>
      </c>
      <c r="B299" t="s">
        <v>24</v>
      </c>
      <c r="C299">
        <v>7</v>
      </c>
      <c r="D299">
        <v>80.900000000000006</v>
      </c>
      <c r="E299">
        <v>566.30000000000007</v>
      </c>
      <c r="F299" s="1">
        <v>45670</v>
      </c>
      <c r="G299" s="1">
        <v>45672</v>
      </c>
      <c r="H299" t="s">
        <v>8</v>
      </c>
      <c r="I299" t="s">
        <v>55</v>
      </c>
      <c r="J299">
        <v>2</v>
      </c>
      <c r="K299" t="s">
        <v>4</v>
      </c>
      <c r="L299" t="s">
        <v>13</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367</v>
      </c>
      <c r="B300" t="s">
        <v>31</v>
      </c>
      <c r="C300">
        <v>6</v>
      </c>
      <c r="D300">
        <v>95.2</v>
      </c>
      <c r="E300">
        <v>571.20000000000005</v>
      </c>
      <c r="F300" s="1">
        <v>45670</v>
      </c>
      <c r="G300" s="1">
        <v>45672</v>
      </c>
      <c r="H300" t="s">
        <v>12</v>
      </c>
      <c r="I300" t="s">
        <v>3</v>
      </c>
      <c r="J300">
        <v>5</v>
      </c>
      <c r="K300" t="s">
        <v>4</v>
      </c>
      <c r="L300" t="s">
        <v>13</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368</v>
      </c>
      <c r="B301" t="s">
        <v>22</v>
      </c>
      <c r="C301">
        <v>8</v>
      </c>
      <c r="D301">
        <v>70.400000000000006</v>
      </c>
      <c r="E301">
        <v>563.20000000000005</v>
      </c>
      <c r="F301" s="1">
        <v>45670</v>
      </c>
      <c r="G301" s="1">
        <v>45671</v>
      </c>
      <c r="H301" t="s">
        <v>8</v>
      </c>
      <c r="I301" t="s">
        <v>20</v>
      </c>
      <c r="J301">
        <v>3</v>
      </c>
      <c r="K301" t="s">
        <v>4</v>
      </c>
      <c r="L301" t="s">
        <v>18</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369</v>
      </c>
      <c r="B302" t="s">
        <v>1</v>
      </c>
      <c r="C302">
        <v>5</v>
      </c>
      <c r="D302">
        <v>10.7</v>
      </c>
      <c r="E302">
        <v>53.5</v>
      </c>
      <c r="F302" s="1">
        <v>45670</v>
      </c>
      <c r="G302" s="1">
        <v>45674</v>
      </c>
      <c r="H302" t="s">
        <v>12</v>
      </c>
      <c r="I302" t="s">
        <v>25</v>
      </c>
      <c r="J302">
        <v>4</v>
      </c>
      <c r="K302" t="s">
        <v>4</v>
      </c>
      <c r="L302" t="s">
        <v>18</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370</v>
      </c>
      <c r="B303" t="s">
        <v>29</v>
      </c>
      <c r="C303">
        <v>5</v>
      </c>
      <c r="D303">
        <v>19.600000000000001</v>
      </c>
      <c r="E303">
        <v>98</v>
      </c>
      <c r="F303" s="1">
        <v>45670</v>
      </c>
      <c r="G303" s="1">
        <v>45672</v>
      </c>
      <c r="H303" t="s">
        <v>12</v>
      </c>
      <c r="I303" t="s">
        <v>3</v>
      </c>
      <c r="J303">
        <v>1</v>
      </c>
      <c r="K303" t="s">
        <v>4</v>
      </c>
      <c r="L303" t="s">
        <v>18</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371</v>
      </c>
      <c r="B304" t="s">
        <v>29</v>
      </c>
      <c r="C304">
        <v>11</v>
      </c>
      <c r="D304">
        <v>34.700000000000003</v>
      </c>
      <c r="E304">
        <v>381.70000000000005</v>
      </c>
      <c r="F304" s="1">
        <v>45670</v>
      </c>
      <c r="G304" s="1">
        <v>45672</v>
      </c>
      <c r="H304" t="s">
        <v>12</v>
      </c>
      <c r="I304" t="s">
        <v>3</v>
      </c>
      <c r="J304">
        <v>5</v>
      </c>
      <c r="K304" t="s">
        <v>4</v>
      </c>
      <c r="L304" t="s">
        <v>18</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372</v>
      </c>
      <c r="B305" t="s">
        <v>39</v>
      </c>
      <c r="C305">
        <v>9</v>
      </c>
      <c r="D305">
        <v>34.1</v>
      </c>
      <c r="E305">
        <v>306.90000000000003</v>
      </c>
      <c r="F305" s="1">
        <v>45670</v>
      </c>
      <c r="G305" s="1">
        <v>45671</v>
      </c>
      <c r="H305" t="s">
        <v>12</v>
      </c>
      <c r="I305" t="s">
        <v>55</v>
      </c>
      <c r="J305">
        <v>3</v>
      </c>
      <c r="K305" t="s">
        <v>4</v>
      </c>
      <c r="L305" t="s">
        <v>18</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373</v>
      </c>
      <c r="B306" t="s">
        <v>1</v>
      </c>
      <c r="C306">
        <v>49</v>
      </c>
      <c r="D306">
        <v>29.3</v>
      </c>
      <c r="E306">
        <v>1435.7</v>
      </c>
      <c r="F306" s="1">
        <v>45670</v>
      </c>
      <c r="G306" s="1">
        <v>45670</v>
      </c>
      <c r="H306" t="s">
        <v>8</v>
      </c>
      <c r="I306" t="s">
        <v>3</v>
      </c>
      <c r="J306">
        <v>3</v>
      </c>
      <c r="K306" t="s">
        <v>4</v>
      </c>
      <c r="L306" t="s">
        <v>18</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374</v>
      </c>
      <c r="B307" t="s">
        <v>7</v>
      </c>
      <c r="C307">
        <v>1</v>
      </c>
      <c r="D307">
        <v>55.2</v>
      </c>
      <c r="E307">
        <v>55.2</v>
      </c>
      <c r="F307" s="1">
        <v>45670</v>
      </c>
      <c r="G307" s="1">
        <v>45671</v>
      </c>
      <c r="H307" t="s">
        <v>12</v>
      </c>
      <c r="I307" t="s">
        <v>3</v>
      </c>
      <c r="J307">
        <v>3</v>
      </c>
      <c r="K307" t="s">
        <v>4</v>
      </c>
      <c r="L307" t="s">
        <v>18</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375</v>
      </c>
      <c r="B308" t="s">
        <v>131</v>
      </c>
      <c r="C308">
        <v>3</v>
      </c>
      <c r="D308">
        <v>26</v>
      </c>
      <c r="E308">
        <v>78</v>
      </c>
      <c r="F308" s="1">
        <v>45670</v>
      </c>
      <c r="G308" s="1">
        <v>45673</v>
      </c>
      <c r="H308" t="s">
        <v>12</v>
      </c>
      <c r="I308" t="s">
        <v>3</v>
      </c>
      <c r="J308">
        <v>5</v>
      </c>
      <c r="K308" t="s">
        <v>4</v>
      </c>
      <c r="L308" t="s">
        <v>18</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376</v>
      </c>
      <c r="B309" t="s">
        <v>66</v>
      </c>
      <c r="C309">
        <v>2</v>
      </c>
      <c r="D309">
        <v>14.2</v>
      </c>
      <c r="E309">
        <v>28.4</v>
      </c>
      <c r="F309" s="1">
        <v>45670</v>
      </c>
      <c r="G309" s="1">
        <v>45675</v>
      </c>
      <c r="H309" t="s">
        <v>12</v>
      </c>
      <c r="I309" t="s">
        <v>36</v>
      </c>
      <c r="J309">
        <v>4</v>
      </c>
      <c r="K309" t="s">
        <v>4</v>
      </c>
      <c r="L309" t="s">
        <v>377</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378</v>
      </c>
      <c r="B310" t="s">
        <v>29</v>
      </c>
      <c r="C310">
        <v>9</v>
      </c>
      <c r="D310">
        <v>22.7</v>
      </c>
      <c r="E310">
        <v>204.29999999999998</v>
      </c>
      <c r="F310" s="1">
        <v>45671</v>
      </c>
      <c r="G310" s="1">
        <v>45672</v>
      </c>
      <c r="H310" t="s">
        <v>8</v>
      </c>
      <c r="I310" t="s">
        <v>20</v>
      </c>
      <c r="J310">
        <v>4</v>
      </c>
      <c r="K310" t="s">
        <v>4</v>
      </c>
      <c r="L310" t="s">
        <v>40</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379</v>
      </c>
      <c r="B311" t="s">
        <v>1</v>
      </c>
      <c r="C311">
        <v>15</v>
      </c>
      <c r="D311">
        <v>19.8</v>
      </c>
      <c r="E311">
        <v>297</v>
      </c>
      <c r="F311" s="1">
        <v>45671</v>
      </c>
      <c r="G311" s="1">
        <v>45671</v>
      </c>
      <c r="H311" t="s">
        <v>12</v>
      </c>
      <c r="I311" t="s">
        <v>3</v>
      </c>
      <c r="J311">
        <v>5</v>
      </c>
      <c r="K311" t="s">
        <v>4</v>
      </c>
      <c r="L311" t="s">
        <v>40</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380</v>
      </c>
      <c r="B312" t="s">
        <v>1</v>
      </c>
      <c r="C312">
        <v>3</v>
      </c>
      <c r="D312">
        <v>31.7</v>
      </c>
      <c r="E312">
        <v>95.1</v>
      </c>
      <c r="F312" s="1">
        <v>45671</v>
      </c>
      <c r="G312" s="1">
        <v>45672</v>
      </c>
      <c r="H312" t="s">
        <v>8</v>
      </c>
      <c r="I312" t="s">
        <v>25</v>
      </c>
      <c r="J312">
        <v>4</v>
      </c>
      <c r="K312" t="s">
        <v>4</v>
      </c>
      <c r="L312" t="s">
        <v>40</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381</v>
      </c>
      <c r="B313" t="s">
        <v>29</v>
      </c>
      <c r="C313">
        <v>4</v>
      </c>
      <c r="D313">
        <v>30.4</v>
      </c>
      <c r="E313">
        <v>121.6</v>
      </c>
      <c r="F313" s="1">
        <v>45671</v>
      </c>
      <c r="G313" s="1">
        <v>45675</v>
      </c>
      <c r="H313" t="s">
        <v>8</v>
      </c>
      <c r="I313" t="s">
        <v>3</v>
      </c>
      <c r="J313">
        <v>4</v>
      </c>
      <c r="K313" t="s">
        <v>4</v>
      </c>
      <c r="L313" t="s">
        <v>40</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382</v>
      </c>
      <c r="B314" t="s">
        <v>1</v>
      </c>
      <c r="C314">
        <v>4</v>
      </c>
      <c r="D314">
        <v>25.6</v>
      </c>
      <c r="E314">
        <v>102.4</v>
      </c>
      <c r="F314" s="1">
        <v>45671</v>
      </c>
      <c r="G314" s="1">
        <v>45672</v>
      </c>
      <c r="H314" t="s">
        <v>8</v>
      </c>
      <c r="I314" t="s">
        <v>36</v>
      </c>
      <c r="J314">
        <v>4</v>
      </c>
      <c r="K314" t="s">
        <v>4</v>
      </c>
      <c r="L314" t="s">
        <v>47</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383</v>
      </c>
      <c r="B315" t="s">
        <v>22</v>
      </c>
      <c r="C315">
        <v>2</v>
      </c>
      <c r="D315">
        <v>34.9</v>
      </c>
      <c r="E315">
        <v>69.8</v>
      </c>
      <c r="F315" s="1">
        <v>45671</v>
      </c>
      <c r="G315" s="1">
        <v>45672</v>
      </c>
      <c r="H315" t="s">
        <v>12</v>
      </c>
      <c r="I315" t="s">
        <v>25</v>
      </c>
      <c r="J315">
        <v>4</v>
      </c>
      <c r="K315" t="s">
        <v>4</v>
      </c>
      <c r="L315" t="s">
        <v>57</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384</v>
      </c>
      <c r="B316" t="s">
        <v>27</v>
      </c>
      <c r="C316">
        <v>6</v>
      </c>
      <c r="D316">
        <v>42.7</v>
      </c>
      <c r="E316">
        <v>256.20000000000005</v>
      </c>
      <c r="F316" s="1">
        <v>45671</v>
      </c>
      <c r="G316" s="1">
        <v>45674</v>
      </c>
      <c r="H316" t="s">
        <v>8</v>
      </c>
      <c r="I316" t="s">
        <v>25</v>
      </c>
      <c r="J316">
        <v>3</v>
      </c>
      <c r="K316" t="s">
        <v>4</v>
      </c>
      <c r="L316" t="s">
        <v>62</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385</v>
      </c>
      <c r="B317" t="s">
        <v>29</v>
      </c>
      <c r="C317">
        <v>1</v>
      </c>
      <c r="D317">
        <v>23.9</v>
      </c>
      <c r="E317">
        <v>23.9</v>
      </c>
      <c r="F317" s="1">
        <v>45671</v>
      </c>
      <c r="G317" s="1">
        <v>45673</v>
      </c>
      <c r="H317" t="s">
        <v>12</v>
      </c>
      <c r="I317" t="s">
        <v>36</v>
      </c>
      <c r="J317">
        <v>4</v>
      </c>
      <c r="K317" t="s">
        <v>4</v>
      </c>
      <c r="L317" t="s">
        <v>62</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386</v>
      </c>
      <c r="B318" t="s">
        <v>24</v>
      </c>
      <c r="C318">
        <v>1</v>
      </c>
      <c r="D318">
        <v>124.3</v>
      </c>
      <c r="E318">
        <v>124.3</v>
      </c>
      <c r="F318" s="1">
        <v>45671</v>
      </c>
      <c r="G318" s="1">
        <v>45672</v>
      </c>
      <c r="H318" t="s">
        <v>2</v>
      </c>
      <c r="I318" t="s">
        <v>25</v>
      </c>
      <c r="J318">
        <v>3</v>
      </c>
      <c r="K318" t="s">
        <v>4</v>
      </c>
      <c r="L318" t="s">
        <v>100</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387</v>
      </c>
      <c r="B319" t="s">
        <v>29</v>
      </c>
      <c r="C319">
        <v>6</v>
      </c>
      <c r="D319">
        <v>35.9</v>
      </c>
      <c r="E319">
        <v>215.39999999999998</v>
      </c>
      <c r="F319" s="1">
        <v>45671</v>
      </c>
      <c r="G319" s="1">
        <v>45672</v>
      </c>
      <c r="H319" t="s">
        <v>12</v>
      </c>
      <c r="I319" t="s">
        <v>3</v>
      </c>
      <c r="J319">
        <v>3</v>
      </c>
      <c r="K319" t="s">
        <v>4</v>
      </c>
      <c r="L319" t="s">
        <v>9</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388</v>
      </c>
      <c r="B320" t="s">
        <v>11</v>
      </c>
      <c r="C320">
        <v>2</v>
      </c>
      <c r="D320">
        <v>69.099999999999994</v>
      </c>
      <c r="E320">
        <v>138.19999999999999</v>
      </c>
      <c r="F320" s="1">
        <v>45671</v>
      </c>
      <c r="G320" s="1">
        <v>45674</v>
      </c>
      <c r="H320" t="s">
        <v>12</v>
      </c>
      <c r="I320" t="s">
        <v>3</v>
      </c>
      <c r="J320">
        <v>5</v>
      </c>
      <c r="K320" t="s">
        <v>4</v>
      </c>
      <c r="L320" t="s">
        <v>132</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389</v>
      </c>
      <c r="B321" t="s">
        <v>27</v>
      </c>
      <c r="C321">
        <v>1</v>
      </c>
      <c r="D321">
        <v>58.4</v>
      </c>
      <c r="E321">
        <v>58.4</v>
      </c>
      <c r="F321" s="1">
        <v>45671</v>
      </c>
      <c r="G321" s="1">
        <v>45675</v>
      </c>
      <c r="H321" t="s">
        <v>8</v>
      </c>
      <c r="I321" t="s">
        <v>3</v>
      </c>
      <c r="J321">
        <v>4</v>
      </c>
      <c r="K321" t="s">
        <v>4</v>
      </c>
      <c r="L321" t="s">
        <v>132</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390</v>
      </c>
      <c r="B322" t="s">
        <v>22</v>
      </c>
      <c r="C322">
        <v>1</v>
      </c>
      <c r="D322">
        <v>65.2</v>
      </c>
      <c r="E322">
        <v>65.2</v>
      </c>
      <c r="F322" s="1">
        <v>45671</v>
      </c>
      <c r="G322" s="1">
        <v>45673</v>
      </c>
      <c r="H322" t="s">
        <v>74</v>
      </c>
      <c r="I322" t="s">
        <v>55</v>
      </c>
      <c r="J322">
        <v>2</v>
      </c>
      <c r="K322" t="s">
        <v>4</v>
      </c>
      <c r="L322" t="s">
        <v>18</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391</v>
      </c>
      <c r="B323" t="s">
        <v>29</v>
      </c>
      <c r="C323">
        <v>17</v>
      </c>
      <c r="D323">
        <v>32.700000000000003</v>
      </c>
      <c r="E323">
        <v>555.90000000000009</v>
      </c>
      <c r="F323" s="1">
        <v>45671</v>
      </c>
      <c r="G323" s="1">
        <v>45678</v>
      </c>
      <c r="H323" t="s">
        <v>2</v>
      </c>
      <c r="I323" t="s">
        <v>55</v>
      </c>
      <c r="J323">
        <v>4</v>
      </c>
      <c r="K323" t="s">
        <v>4</v>
      </c>
      <c r="L323" t="s">
        <v>18</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392</v>
      </c>
      <c r="B324" t="s">
        <v>39</v>
      </c>
      <c r="C324">
        <v>7</v>
      </c>
      <c r="D324">
        <v>24.4</v>
      </c>
      <c r="E324">
        <v>170.79999999999998</v>
      </c>
      <c r="F324" s="1">
        <v>45671</v>
      </c>
      <c r="G324" s="1">
        <v>45672</v>
      </c>
      <c r="H324" t="s">
        <v>12</v>
      </c>
      <c r="I324" t="s">
        <v>3</v>
      </c>
      <c r="J324">
        <v>4</v>
      </c>
      <c r="K324" t="s">
        <v>4</v>
      </c>
      <c r="L324" t="s">
        <v>18</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393</v>
      </c>
      <c r="B325" t="s">
        <v>66</v>
      </c>
      <c r="C325">
        <v>2</v>
      </c>
      <c r="D325">
        <v>50.4</v>
      </c>
      <c r="E325">
        <v>100.8</v>
      </c>
      <c r="F325" s="1">
        <v>45671</v>
      </c>
      <c r="G325" s="1">
        <v>45677</v>
      </c>
      <c r="H325" t="s">
        <v>8</v>
      </c>
      <c r="I325" t="s">
        <v>3</v>
      </c>
      <c r="J325">
        <v>3</v>
      </c>
      <c r="K325" t="s">
        <v>4</v>
      </c>
      <c r="L325" t="s">
        <v>18</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394</v>
      </c>
      <c r="B326" t="s">
        <v>7</v>
      </c>
      <c r="C326">
        <v>2</v>
      </c>
      <c r="D326">
        <v>100</v>
      </c>
      <c r="E326">
        <v>200</v>
      </c>
      <c r="F326" s="1">
        <v>45671</v>
      </c>
      <c r="G326" s="1">
        <v>45672</v>
      </c>
      <c r="H326" t="s">
        <v>12</v>
      </c>
      <c r="I326" t="s">
        <v>3</v>
      </c>
      <c r="J326">
        <v>4</v>
      </c>
      <c r="K326" t="s">
        <v>4</v>
      </c>
      <c r="L326" t="s">
        <v>18</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395</v>
      </c>
      <c r="B327" t="s">
        <v>39</v>
      </c>
      <c r="C327">
        <v>3</v>
      </c>
      <c r="D327">
        <v>43</v>
      </c>
      <c r="E327">
        <v>129</v>
      </c>
      <c r="F327" s="1">
        <v>45672</v>
      </c>
      <c r="G327" s="1">
        <v>45672</v>
      </c>
      <c r="H327" t="s">
        <v>12</v>
      </c>
      <c r="I327" t="s">
        <v>25</v>
      </c>
      <c r="J327">
        <v>3</v>
      </c>
      <c r="K327" t="s">
        <v>4</v>
      </c>
      <c r="L327" t="s">
        <v>18</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396</v>
      </c>
      <c r="B328" t="s">
        <v>7</v>
      </c>
      <c r="C328">
        <v>5</v>
      </c>
      <c r="D328">
        <v>64.400000000000006</v>
      </c>
      <c r="E328">
        <v>322</v>
      </c>
      <c r="F328" s="1">
        <v>45672</v>
      </c>
      <c r="G328" s="1">
        <v>45674</v>
      </c>
      <c r="H328" t="s">
        <v>8</v>
      </c>
      <c r="I328" t="s">
        <v>25</v>
      </c>
      <c r="J328">
        <v>3</v>
      </c>
      <c r="K328" t="s">
        <v>4</v>
      </c>
      <c r="L328" t="s">
        <v>18</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397</v>
      </c>
      <c r="B329" t="s">
        <v>131</v>
      </c>
      <c r="C329">
        <v>2</v>
      </c>
      <c r="D329">
        <v>57.4</v>
      </c>
      <c r="E329">
        <v>114.8</v>
      </c>
      <c r="F329" s="1">
        <v>45672</v>
      </c>
      <c r="G329" s="1">
        <v>45673</v>
      </c>
      <c r="H329" t="s">
        <v>8</v>
      </c>
      <c r="I329" t="s">
        <v>25</v>
      </c>
      <c r="J329">
        <v>3</v>
      </c>
      <c r="K329" t="s">
        <v>4</v>
      </c>
      <c r="L329" t="s">
        <v>18</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398</v>
      </c>
      <c r="B330" t="s">
        <v>11</v>
      </c>
      <c r="C330">
        <v>3</v>
      </c>
      <c r="D330">
        <v>55.1</v>
      </c>
      <c r="E330">
        <v>165.3</v>
      </c>
      <c r="F330" s="1">
        <v>45672</v>
      </c>
      <c r="G330" s="1">
        <v>45675</v>
      </c>
      <c r="H330" t="s">
        <v>12</v>
      </c>
      <c r="I330" t="s">
        <v>20</v>
      </c>
      <c r="J330">
        <v>4</v>
      </c>
      <c r="K330" t="s">
        <v>4</v>
      </c>
      <c r="L330" t="s">
        <v>18</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399</v>
      </c>
      <c r="B331" t="s">
        <v>27</v>
      </c>
      <c r="C331">
        <v>4</v>
      </c>
      <c r="D331">
        <v>45.4</v>
      </c>
      <c r="E331">
        <v>181.6</v>
      </c>
      <c r="F331" s="1">
        <v>45672</v>
      </c>
      <c r="G331" s="1">
        <v>45673</v>
      </c>
      <c r="H331" t="s">
        <v>12</v>
      </c>
      <c r="I331" t="s">
        <v>20</v>
      </c>
      <c r="J331">
        <v>4</v>
      </c>
      <c r="K331" t="s">
        <v>4</v>
      </c>
      <c r="L331" t="s">
        <v>18</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400</v>
      </c>
      <c r="B332" t="s">
        <v>15</v>
      </c>
      <c r="C332">
        <v>3</v>
      </c>
      <c r="D332">
        <v>93.3</v>
      </c>
      <c r="E332">
        <v>279.89999999999998</v>
      </c>
      <c r="F332" s="1">
        <v>45672</v>
      </c>
      <c r="G332" s="1">
        <v>45673</v>
      </c>
      <c r="H332" t="s">
        <v>12</v>
      </c>
      <c r="I332" t="s">
        <v>3</v>
      </c>
      <c r="J332">
        <v>4</v>
      </c>
      <c r="K332" t="s">
        <v>4</v>
      </c>
      <c r="L332" t="s">
        <v>401</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402</v>
      </c>
      <c r="B333" t="s">
        <v>11</v>
      </c>
      <c r="C333">
        <v>19</v>
      </c>
      <c r="D333">
        <v>158.19999999999999</v>
      </c>
      <c r="E333">
        <v>3005.7999999999997</v>
      </c>
      <c r="F333" s="1">
        <v>45672</v>
      </c>
      <c r="G333" s="1">
        <v>45673</v>
      </c>
      <c r="H333" t="s">
        <v>12</v>
      </c>
      <c r="I333" t="s">
        <v>20</v>
      </c>
      <c r="J333">
        <v>5</v>
      </c>
      <c r="K333" t="s">
        <v>4</v>
      </c>
      <c r="L333" t="s">
        <v>83</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403</v>
      </c>
      <c r="B334" t="s">
        <v>11</v>
      </c>
      <c r="C334">
        <v>2</v>
      </c>
      <c r="D334">
        <v>74.900000000000006</v>
      </c>
      <c r="E334">
        <v>149.80000000000001</v>
      </c>
      <c r="F334" s="1">
        <v>45672</v>
      </c>
      <c r="G334" s="1">
        <v>45674</v>
      </c>
      <c r="H334" t="s">
        <v>8</v>
      </c>
      <c r="I334" t="s">
        <v>36</v>
      </c>
      <c r="J334">
        <v>4</v>
      </c>
      <c r="K334" t="s">
        <v>4</v>
      </c>
      <c r="L334" t="s">
        <v>40</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404</v>
      </c>
      <c r="B335" t="s">
        <v>29</v>
      </c>
      <c r="C335">
        <v>7</v>
      </c>
      <c r="D335">
        <v>26</v>
      </c>
      <c r="E335">
        <v>182</v>
      </c>
      <c r="F335" s="1">
        <v>45672</v>
      </c>
      <c r="G335" s="1">
        <v>45675</v>
      </c>
      <c r="H335" t="s">
        <v>12</v>
      </c>
      <c r="I335" t="s">
        <v>20</v>
      </c>
      <c r="J335">
        <v>4</v>
      </c>
      <c r="K335" t="s">
        <v>4</v>
      </c>
      <c r="L335" t="s">
        <v>47</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405</v>
      </c>
      <c r="B336" t="s">
        <v>31</v>
      </c>
      <c r="C336">
        <v>6</v>
      </c>
      <c r="D336">
        <v>37.5</v>
      </c>
      <c r="E336">
        <v>225</v>
      </c>
      <c r="F336" s="1">
        <v>45672</v>
      </c>
      <c r="G336" s="1">
        <v>45673</v>
      </c>
      <c r="H336" t="s">
        <v>12</v>
      </c>
      <c r="I336" t="s">
        <v>3</v>
      </c>
      <c r="J336">
        <v>3</v>
      </c>
      <c r="K336" t="s">
        <v>4</v>
      </c>
      <c r="L336" t="s">
        <v>47</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406</v>
      </c>
      <c r="B337" t="s">
        <v>24</v>
      </c>
      <c r="C337">
        <v>2</v>
      </c>
      <c r="D337">
        <v>75.8</v>
      </c>
      <c r="E337">
        <v>151.6</v>
      </c>
      <c r="F337" s="1">
        <v>45672</v>
      </c>
      <c r="G337" s="1">
        <v>45678</v>
      </c>
      <c r="H337" t="s">
        <v>8</v>
      </c>
      <c r="I337" t="s">
        <v>3</v>
      </c>
      <c r="J337">
        <v>4</v>
      </c>
      <c r="K337" t="s">
        <v>4</v>
      </c>
      <c r="L337" t="s">
        <v>47</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407</v>
      </c>
      <c r="B338" t="s">
        <v>27</v>
      </c>
      <c r="C338">
        <v>1</v>
      </c>
      <c r="D338">
        <v>48.5</v>
      </c>
      <c r="E338">
        <v>48.5</v>
      </c>
      <c r="F338" s="1">
        <v>45672</v>
      </c>
      <c r="G338" s="1">
        <v>45684</v>
      </c>
      <c r="H338" t="s">
        <v>2</v>
      </c>
      <c r="I338" t="s">
        <v>55</v>
      </c>
      <c r="J338">
        <v>5</v>
      </c>
      <c r="K338" t="s">
        <v>4</v>
      </c>
      <c r="L338" t="s">
        <v>47</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408</v>
      </c>
      <c r="B339" t="s">
        <v>24</v>
      </c>
      <c r="C339">
        <v>3</v>
      </c>
      <c r="D339">
        <v>98.9</v>
      </c>
      <c r="E339">
        <v>296.70000000000005</v>
      </c>
      <c r="F339" s="1">
        <v>45672</v>
      </c>
      <c r="G339" s="1">
        <v>45674</v>
      </c>
      <c r="H339" t="s">
        <v>12</v>
      </c>
      <c r="I339" t="s">
        <v>55</v>
      </c>
      <c r="J339">
        <v>3</v>
      </c>
      <c r="K339" t="s">
        <v>4</v>
      </c>
      <c r="L339" t="s">
        <v>47</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409</v>
      </c>
      <c r="B340" t="s">
        <v>7</v>
      </c>
      <c r="C340">
        <v>12</v>
      </c>
      <c r="D340">
        <v>50.9</v>
      </c>
      <c r="E340">
        <v>610.79999999999995</v>
      </c>
      <c r="F340" s="1">
        <v>45672</v>
      </c>
      <c r="G340" s="1">
        <v>45672</v>
      </c>
      <c r="H340" t="s">
        <v>8</v>
      </c>
      <c r="I340" t="s">
        <v>55</v>
      </c>
      <c r="J340">
        <v>4</v>
      </c>
      <c r="K340" t="s">
        <v>4</v>
      </c>
      <c r="L340" t="s">
        <v>47</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410</v>
      </c>
      <c r="B341" t="s">
        <v>54</v>
      </c>
      <c r="C341">
        <v>6</v>
      </c>
      <c r="D341">
        <v>84.7</v>
      </c>
      <c r="E341">
        <v>508.20000000000005</v>
      </c>
      <c r="F341" s="1">
        <v>45672</v>
      </c>
      <c r="G341" s="1">
        <v>45672</v>
      </c>
      <c r="H341" t="s">
        <v>12</v>
      </c>
      <c r="I341" t="s">
        <v>25</v>
      </c>
      <c r="J341">
        <v>4</v>
      </c>
      <c r="K341" t="s">
        <v>4</v>
      </c>
      <c r="L341" t="s">
        <v>47</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411</v>
      </c>
      <c r="B342" t="s">
        <v>29</v>
      </c>
      <c r="C342">
        <v>1</v>
      </c>
      <c r="D342">
        <v>20.7</v>
      </c>
      <c r="E342">
        <v>20.7</v>
      </c>
      <c r="F342" s="1">
        <v>45672</v>
      </c>
      <c r="G342" s="1">
        <v>45674</v>
      </c>
      <c r="H342" t="s">
        <v>12</v>
      </c>
      <c r="I342" t="s">
        <v>36</v>
      </c>
      <c r="J342">
        <v>5</v>
      </c>
      <c r="K342" t="s">
        <v>4</v>
      </c>
      <c r="L342" t="s">
        <v>47</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412</v>
      </c>
      <c r="B343" t="s">
        <v>54</v>
      </c>
      <c r="C343">
        <v>9</v>
      </c>
      <c r="D343">
        <v>57.8</v>
      </c>
      <c r="E343">
        <v>520.19999999999993</v>
      </c>
      <c r="F343" s="1">
        <v>45672</v>
      </c>
      <c r="G343" s="1">
        <v>45683</v>
      </c>
      <c r="H343" t="s">
        <v>8</v>
      </c>
      <c r="I343" t="s">
        <v>3</v>
      </c>
      <c r="J343">
        <v>2</v>
      </c>
      <c r="K343" t="s">
        <v>4</v>
      </c>
      <c r="L343" t="s">
        <v>88</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413</v>
      </c>
      <c r="B344" t="s">
        <v>11</v>
      </c>
      <c r="C344">
        <v>2</v>
      </c>
      <c r="D344">
        <v>106.9</v>
      </c>
      <c r="E344">
        <v>213.8</v>
      </c>
      <c r="F344" s="1">
        <v>45672</v>
      </c>
      <c r="G344" s="1">
        <v>45674</v>
      </c>
      <c r="H344" t="s">
        <v>12</v>
      </c>
      <c r="I344" t="s">
        <v>3</v>
      </c>
      <c r="J344">
        <v>5</v>
      </c>
      <c r="K344" t="s">
        <v>4</v>
      </c>
      <c r="L344" t="s">
        <v>414</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415</v>
      </c>
      <c r="B345" t="s">
        <v>15</v>
      </c>
      <c r="C345">
        <v>5</v>
      </c>
      <c r="D345">
        <v>45.2</v>
      </c>
      <c r="E345">
        <v>226</v>
      </c>
      <c r="F345" s="1">
        <v>45672</v>
      </c>
      <c r="G345" s="1">
        <v>45676</v>
      </c>
      <c r="H345" t="s">
        <v>12</v>
      </c>
      <c r="I345" t="s">
        <v>20</v>
      </c>
      <c r="J345">
        <v>4</v>
      </c>
      <c r="K345" t="s">
        <v>4</v>
      </c>
      <c r="L345" t="s">
        <v>100</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416</v>
      </c>
      <c r="B346" t="s">
        <v>29</v>
      </c>
      <c r="C346">
        <v>13</v>
      </c>
      <c r="D346">
        <v>34.6</v>
      </c>
      <c r="E346">
        <v>449.8</v>
      </c>
      <c r="F346" s="1">
        <v>45672</v>
      </c>
      <c r="G346" s="1">
        <v>45672</v>
      </c>
      <c r="H346" t="s">
        <v>12</v>
      </c>
      <c r="I346" t="s">
        <v>20</v>
      </c>
      <c r="J346">
        <v>3</v>
      </c>
      <c r="K346" t="s">
        <v>4</v>
      </c>
      <c r="L346" t="s">
        <v>100</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417</v>
      </c>
      <c r="B347" t="s">
        <v>108</v>
      </c>
      <c r="C347">
        <v>1</v>
      </c>
      <c r="D347">
        <v>43.8</v>
      </c>
      <c r="E347">
        <v>43.8</v>
      </c>
      <c r="F347" s="1">
        <v>45672</v>
      </c>
      <c r="G347" s="1">
        <v>45674</v>
      </c>
      <c r="H347" t="s">
        <v>2</v>
      </c>
      <c r="I347" t="s">
        <v>3</v>
      </c>
      <c r="J347">
        <v>5</v>
      </c>
      <c r="K347" t="s">
        <v>4</v>
      </c>
      <c r="L347" t="s">
        <v>100</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418</v>
      </c>
      <c r="B348" t="s">
        <v>108</v>
      </c>
      <c r="C348">
        <v>1</v>
      </c>
      <c r="D348">
        <v>20.399999999999999</v>
      </c>
      <c r="E348">
        <v>20.399999999999999</v>
      </c>
      <c r="F348" s="1">
        <v>45672</v>
      </c>
      <c r="G348" s="1">
        <v>45674</v>
      </c>
      <c r="H348" t="s">
        <v>8</v>
      </c>
      <c r="I348" t="s">
        <v>55</v>
      </c>
      <c r="J348">
        <v>3</v>
      </c>
      <c r="K348" t="s">
        <v>4</v>
      </c>
      <c r="L348" t="s">
        <v>100</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419</v>
      </c>
      <c r="B349" t="s">
        <v>7</v>
      </c>
      <c r="C349">
        <v>1</v>
      </c>
      <c r="D349">
        <v>36.700000000000003</v>
      </c>
      <c r="E349">
        <v>36.700000000000003</v>
      </c>
      <c r="F349" s="1">
        <v>45672</v>
      </c>
      <c r="G349" s="1">
        <v>45673</v>
      </c>
      <c r="H349" t="s">
        <v>8</v>
      </c>
      <c r="I349" t="s">
        <v>3</v>
      </c>
      <c r="J349">
        <v>3</v>
      </c>
      <c r="K349" t="s">
        <v>4</v>
      </c>
      <c r="L349" t="s">
        <v>9</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420</v>
      </c>
      <c r="B350" t="s">
        <v>29</v>
      </c>
      <c r="C350">
        <v>3</v>
      </c>
      <c r="D350">
        <v>27.2</v>
      </c>
      <c r="E350">
        <v>81.599999999999994</v>
      </c>
      <c r="F350" s="1">
        <v>45672</v>
      </c>
      <c r="G350" s="1">
        <v>45676</v>
      </c>
      <c r="H350" t="s">
        <v>8</v>
      </c>
      <c r="I350" t="s">
        <v>3</v>
      </c>
      <c r="J350">
        <v>5</v>
      </c>
      <c r="K350" t="s">
        <v>4</v>
      </c>
      <c r="L350" t="s">
        <v>9</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421</v>
      </c>
      <c r="B351" t="s">
        <v>24</v>
      </c>
      <c r="C351">
        <v>1</v>
      </c>
      <c r="D351">
        <v>58.2</v>
      </c>
      <c r="E351">
        <v>58.2</v>
      </c>
      <c r="F351" s="1">
        <v>45672</v>
      </c>
      <c r="G351" s="1">
        <v>45673</v>
      </c>
      <c r="H351" t="s">
        <v>12</v>
      </c>
      <c r="I351" t="s">
        <v>3</v>
      </c>
      <c r="J351">
        <v>5</v>
      </c>
      <c r="K351" t="s">
        <v>4</v>
      </c>
      <c r="L351" t="s">
        <v>422</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423</v>
      </c>
      <c r="B352" t="s">
        <v>29</v>
      </c>
      <c r="C352">
        <v>3</v>
      </c>
      <c r="D352">
        <v>25.6</v>
      </c>
      <c r="E352">
        <v>76.800000000000011</v>
      </c>
      <c r="F352" s="1">
        <v>45672</v>
      </c>
      <c r="G352" s="1">
        <v>45673</v>
      </c>
      <c r="H352" t="s">
        <v>8</v>
      </c>
      <c r="I352" t="s">
        <v>55</v>
      </c>
      <c r="J352">
        <v>2</v>
      </c>
      <c r="K352" t="s">
        <v>4</v>
      </c>
      <c r="L352" t="s">
        <v>13</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424</v>
      </c>
      <c r="B353" t="s">
        <v>39</v>
      </c>
      <c r="C353">
        <v>1</v>
      </c>
      <c r="D353">
        <v>21.2</v>
      </c>
      <c r="E353">
        <v>21.2</v>
      </c>
      <c r="F353" s="1">
        <v>45672</v>
      </c>
      <c r="G353" s="1">
        <v>45672</v>
      </c>
      <c r="H353" t="s">
        <v>12</v>
      </c>
      <c r="I353" t="s">
        <v>20</v>
      </c>
      <c r="J353">
        <v>5</v>
      </c>
      <c r="K353" t="s">
        <v>4</v>
      </c>
      <c r="L353" t="s">
        <v>18</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425</v>
      </c>
      <c r="B354" t="s">
        <v>24</v>
      </c>
      <c r="C354">
        <v>2</v>
      </c>
      <c r="D354">
        <v>48.2</v>
      </c>
      <c r="E354">
        <v>96.4</v>
      </c>
      <c r="F354" s="1">
        <v>45672</v>
      </c>
      <c r="G354" s="1">
        <v>45680</v>
      </c>
      <c r="H354" t="s">
        <v>12</v>
      </c>
      <c r="I354" t="s">
        <v>3</v>
      </c>
      <c r="J354">
        <v>5</v>
      </c>
      <c r="K354" t="s">
        <v>4</v>
      </c>
      <c r="L354" t="s">
        <v>18</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426</v>
      </c>
      <c r="B355" t="s">
        <v>7</v>
      </c>
      <c r="C355">
        <v>4</v>
      </c>
      <c r="D355">
        <v>83.4</v>
      </c>
      <c r="E355">
        <v>333.6</v>
      </c>
      <c r="F355" s="1">
        <v>45673</v>
      </c>
      <c r="G355" s="1">
        <v>45674</v>
      </c>
      <c r="H355" t="s">
        <v>8</v>
      </c>
      <c r="I355" t="s">
        <v>3</v>
      </c>
      <c r="J355">
        <v>4</v>
      </c>
      <c r="K355" t="s">
        <v>4</v>
      </c>
      <c r="L355" t="s">
        <v>18</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427</v>
      </c>
      <c r="B356" t="s">
        <v>31</v>
      </c>
      <c r="C356">
        <v>3</v>
      </c>
      <c r="D356">
        <v>45.3</v>
      </c>
      <c r="E356">
        <v>135.89999999999998</v>
      </c>
      <c r="F356" s="1">
        <v>45673</v>
      </c>
      <c r="G356" s="1">
        <v>45679</v>
      </c>
      <c r="H356" t="s">
        <v>8</v>
      </c>
      <c r="I356" t="s">
        <v>25</v>
      </c>
      <c r="J356">
        <v>3</v>
      </c>
      <c r="K356" t="s">
        <v>4</v>
      </c>
      <c r="L356" t="s">
        <v>18</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428</v>
      </c>
      <c r="B357" t="s">
        <v>120</v>
      </c>
      <c r="C357">
        <v>1</v>
      </c>
      <c r="D357">
        <v>42</v>
      </c>
      <c r="E357">
        <v>42</v>
      </c>
      <c r="F357" s="1">
        <v>45673</v>
      </c>
      <c r="G357" s="1">
        <v>45674</v>
      </c>
      <c r="H357" t="s">
        <v>2</v>
      </c>
      <c r="I357" t="s">
        <v>3</v>
      </c>
      <c r="J357">
        <v>4</v>
      </c>
      <c r="K357" t="s">
        <v>4</v>
      </c>
      <c r="L357" t="s">
        <v>18</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429</v>
      </c>
      <c r="B358" t="s">
        <v>1</v>
      </c>
      <c r="C358">
        <v>9</v>
      </c>
      <c r="D358">
        <v>21.8</v>
      </c>
      <c r="E358">
        <v>196.20000000000002</v>
      </c>
      <c r="F358" s="1">
        <v>45673</v>
      </c>
      <c r="G358" s="1">
        <v>45675</v>
      </c>
      <c r="H358" t="s">
        <v>12</v>
      </c>
      <c r="I358" t="s">
        <v>20</v>
      </c>
      <c r="J358">
        <v>4</v>
      </c>
      <c r="K358" t="s">
        <v>4</v>
      </c>
      <c r="L358" t="s">
        <v>18</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430</v>
      </c>
      <c r="B359" t="s">
        <v>29</v>
      </c>
      <c r="C359">
        <v>18</v>
      </c>
      <c r="D359">
        <v>21.4</v>
      </c>
      <c r="E359">
        <v>385.2</v>
      </c>
      <c r="F359" s="1">
        <v>45673</v>
      </c>
      <c r="G359" s="1">
        <v>45676</v>
      </c>
      <c r="H359" t="s">
        <v>12</v>
      </c>
      <c r="I359" t="s">
        <v>20</v>
      </c>
      <c r="J359">
        <v>5</v>
      </c>
      <c r="K359" t="s">
        <v>4</v>
      </c>
      <c r="L359" t="s">
        <v>18</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431</v>
      </c>
      <c r="B360" t="s">
        <v>39</v>
      </c>
      <c r="C360">
        <v>3</v>
      </c>
      <c r="D360">
        <v>45</v>
      </c>
      <c r="E360">
        <v>135</v>
      </c>
      <c r="F360" s="1">
        <v>45673</v>
      </c>
      <c r="G360" s="1">
        <v>45673</v>
      </c>
      <c r="H360" t="s">
        <v>12</v>
      </c>
      <c r="I360" t="s">
        <v>20</v>
      </c>
      <c r="J360">
        <v>5</v>
      </c>
      <c r="K360" t="s">
        <v>4</v>
      </c>
      <c r="L360" t="s">
        <v>18</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432</v>
      </c>
      <c r="B361" t="s">
        <v>66</v>
      </c>
      <c r="C361">
        <v>1</v>
      </c>
      <c r="D361">
        <v>39.6</v>
      </c>
      <c r="E361">
        <v>39.6</v>
      </c>
      <c r="F361" s="1">
        <v>45673</v>
      </c>
      <c r="G361" s="1">
        <v>45674</v>
      </c>
      <c r="H361" t="s">
        <v>8</v>
      </c>
      <c r="I361" t="s">
        <v>3</v>
      </c>
      <c r="J361">
        <v>5</v>
      </c>
      <c r="K361" t="s">
        <v>4</v>
      </c>
      <c r="L361" t="s">
        <v>18</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433</v>
      </c>
      <c r="B362" t="s">
        <v>54</v>
      </c>
      <c r="C362">
        <v>3</v>
      </c>
      <c r="D362">
        <v>79.8</v>
      </c>
      <c r="E362">
        <v>239.39999999999998</v>
      </c>
      <c r="F362" s="1">
        <v>45673</v>
      </c>
      <c r="G362" s="1">
        <v>45679</v>
      </c>
      <c r="H362" t="s">
        <v>12</v>
      </c>
      <c r="I362" t="s">
        <v>20</v>
      </c>
      <c r="J362">
        <v>2</v>
      </c>
      <c r="K362" t="s">
        <v>4</v>
      </c>
      <c r="L362" t="s">
        <v>18</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434</v>
      </c>
      <c r="B363" t="s">
        <v>7</v>
      </c>
      <c r="C363">
        <v>4</v>
      </c>
      <c r="D363">
        <v>63.6</v>
      </c>
      <c r="E363">
        <v>254.4</v>
      </c>
      <c r="F363" s="1">
        <v>45673</v>
      </c>
      <c r="G363" s="1">
        <v>45674</v>
      </c>
      <c r="H363" t="s">
        <v>74</v>
      </c>
      <c r="I363" t="s">
        <v>3</v>
      </c>
      <c r="J363">
        <v>5</v>
      </c>
      <c r="K363" t="s">
        <v>4</v>
      </c>
      <c r="L363" t="s">
        <v>171</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435</v>
      </c>
      <c r="B364" t="s">
        <v>27</v>
      </c>
      <c r="C364">
        <v>10</v>
      </c>
      <c r="D364">
        <v>92.7</v>
      </c>
      <c r="E364">
        <v>927</v>
      </c>
      <c r="F364" s="1">
        <v>45673</v>
      </c>
      <c r="G364" s="1">
        <v>45677</v>
      </c>
      <c r="H364" t="s">
        <v>8</v>
      </c>
      <c r="I364" t="s">
        <v>20</v>
      </c>
      <c r="J364">
        <v>5</v>
      </c>
      <c r="K364" t="s">
        <v>4</v>
      </c>
      <c r="L364" t="s">
        <v>40</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436</v>
      </c>
      <c r="B365" t="s">
        <v>7</v>
      </c>
      <c r="C365">
        <v>4</v>
      </c>
      <c r="D365">
        <v>48.4</v>
      </c>
      <c r="E365">
        <v>193.6</v>
      </c>
      <c r="F365" s="1">
        <v>45673</v>
      </c>
      <c r="G365" s="1">
        <v>45675</v>
      </c>
      <c r="H365" t="s">
        <v>12</v>
      </c>
      <c r="I365" t="s">
        <v>20</v>
      </c>
      <c r="J365">
        <v>5</v>
      </c>
      <c r="K365" t="s">
        <v>4</v>
      </c>
      <c r="L365" t="s">
        <v>40</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437</v>
      </c>
      <c r="B366" t="s">
        <v>31</v>
      </c>
      <c r="C366">
        <v>8</v>
      </c>
      <c r="D366">
        <v>36</v>
      </c>
      <c r="E366">
        <v>288</v>
      </c>
      <c r="F366" s="1">
        <v>45673</v>
      </c>
      <c r="G366" s="1">
        <v>45676</v>
      </c>
      <c r="H366" t="s">
        <v>8</v>
      </c>
      <c r="I366" t="s">
        <v>25</v>
      </c>
      <c r="J366">
        <v>5</v>
      </c>
      <c r="K366" t="s">
        <v>4</v>
      </c>
      <c r="L366" t="s">
        <v>47</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438</v>
      </c>
      <c r="B367" t="s">
        <v>29</v>
      </c>
      <c r="C367">
        <v>12</v>
      </c>
      <c r="D367">
        <v>27</v>
      </c>
      <c r="E367">
        <v>324</v>
      </c>
      <c r="F367" s="1">
        <v>45673</v>
      </c>
      <c r="G367" s="1">
        <v>45675</v>
      </c>
      <c r="H367" t="s">
        <v>12</v>
      </c>
      <c r="I367" t="s">
        <v>25</v>
      </c>
      <c r="J367">
        <v>3</v>
      </c>
      <c r="K367" t="s">
        <v>4</v>
      </c>
      <c r="L367" t="s">
        <v>47</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439</v>
      </c>
      <c r="B368" t="s">
        <v>11</v>
      </c>
      <c r="C368">
        <v>8</v>
      </c>
      <c r="D368">
        <v>53.9</v>
      </c>
      <c r="E368">
        <v>431.2</v>
      </c>
      <c r="F368" s="1">
        <v>45673</v>
      </c>
      <c r="G368" s="1">
        <v>45674</v>
      </c>
      <c r="H368" t="s">
        <v>2</v>
      </c>
      <c r="I368" t="s">
        <v>3</v>
      </c>
      <c r="J368">
        <v>4</v>
      </c>
      <c r="K368" t="s">
        <v>4</v>
      </c>
      <c r="L368" t="s">
        <v>47</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440</v>
      </c>
      <c r="B369" t="s">
        <v>15</v>
      </c>
      <c r="C369">
        <v>9</v>
      </c>
      <c r="D369">
        <v>48.4</v>
      </c>
      <c r="E369">
        <v>435.59999999999997</v>
      </c>
      <c r="F369" s="1">
        <v>45673</v>
      </c>
      <c r="G369" s="1">
        <v>45674</v>
      </c>
      <c r="H369" t="s">
        <v>12</v>
      </c>
      <c r="I369" t="s">
        <v>20</v>
      </c>
      <c r="J369">
        <v>4</v>
      </c>
      <c r="K369" t="s">
        <v>4</v>
      </c>
      <c r="L369" t="s">
        <v>57</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441</v>
      </c>
      <c r="B370" t="s">
        <v>120</v>
      </c>
      <c r="C370">
        <v>2</v>
      </c>
      <c r="D370">
        <v>49.9</v>
      </c>
      <c r="E370">
        <v>99.8</v>
      </c>
      <c r="F370" s="1">
        <v>45673</v>
      </c>
      <c r="G370" s="1">
        <v>45678</v>
      </c>
      <c r="H370" t="s">
        <v>8</v>
      </c>
      <c r="I370" t="s">
        <v>55</v>
      </c>
      <c r="J370">
        <v>2</v>
      </c>
      <c r="K370" t="s">
        <v>4</v>
      </c>
      <c r="L370" t="s">
        <v>59</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442</v>
      </c>
      <c r="B371" t="s">
        <v>7</v>
      </c>
      <c r="C371">
        <v>3</v>
      </c>
      <c r="D371">
        <v>51.7</v>
      </c>
      <c r="E371">
        <v>155.10000000000002</v>
      </c>
      <c r="F371" s="1">
        <v>45673</v>
      </c>
      <c r="G371" s="1">
        <v>45674</v>
      </c>
      <c r="H371" t="s">
        <v>12</v>
      </c>
      <c r="I371" t="s">
        <v>3</v>
      </c>
      <c r="J371">
        <v>5</v>
      </c>
      <c r="K371" t="s">
        <v>4</v>
      </c>
      <c r="L371" t="s">
        <v>62</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443</v>
      </c>
      <c r="B372" t="s">
        <v>29</v>
      </c>
      <c r="C372">
        <v>3</v>
      </c>
      <c r="D372">
        <v>41.8</v>
      </c>
      <c r="E372">
        <v>125.39999999999999</v>
      </c>
      <c r="F372" s="1">
        <v>45673</v>
      </c>
      <c r="G372" s="1">
        <v>45675</v>
      </c>
      <c r="H372" t="s">
        <v>12</v>
      </c>
      <c r="I372" t="s">
        <v>25</v>
      </c>
      <c r="J372">
        <v>4</v>
      </c>
      <c r="K372" t="s">
        <v>4</v>
      </c>
      <c r="L372" t="s">
        <v>93</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444</v>
      </c>
      <c r="B373" t="s">
        <v>17</v>
      </c>
      <c r="C373">
        <v>4</v>
      </c>
      <c r="D373">
        <v>36.200000000000003</v>
      </c>
      <c r="E373">
        <v>144.80000000000001</v>
      </c>
      <c r="F373" s="1">
        <v>45674</v>
      </c>
      <c r="G373" s="1">
        <v>45675</v>
      </c>
      <c r="H373" t="s">
        <v>8</v>
      </c>
      <c r="I373" t="s">
        <v>25</v>
      </c>
      <c r="J373">
        <v>5</v>
      </c>
      <c r="K373" t="s">
        <v>4</v>
      </c>
      <c r="L373" t="s">
        <v>100</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445</v>
      </c>
      <c r="B374" t="s">
        <v>11</v>
      </c>
      <c r="C374">
        <v>1</v>
      </c>
      <c r="D374">
        <v>150.9</v>
      </c>
      <c r="E374">
        <v>150.9</v>
      </c>
      <c r="F374" s="1">
        <v>45674</v>
      </c>
      <c r="G374" s="1">
        <v>45684</v>
      </c>
      <c r="H374" t="s">
        <v>8</v>
      </c>
      <c r="I374" t="s">
        <v>3</v>
      </c>
      <c r="J374">
        <v>4</v>
      </c>
      <c r="K374" t="s">
        <v>4</v>
      </c>
      <c r="L374" t="s">
        <v>9</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446</v>
      </c>
      <c r="B375" t="s">
        <v>131</v>
      </c>
      <c r="C375">
        <v>4</v>
      </c>
      <c r="D375">
        <v>77.599999999999994</v>
      </c>
      <c r="E375">
        <v>310.39999999999998</v>
      </c>
      <c r="F375" s="1">
        <v>45674</v>
      </c>
      <c r="G375" s="1">
        <v>45675</v>
      </c>
      <c r="H375" t="s">
        <v>2</v>
      </c>
      <c r="I375" t="s">
        <v>25</v>
      </c>
      <c r="J375">
        <v>4</v>
      </c>
      <c r="K375" t="s">
        <v>4</v>
      </c>
      <c r="L375" t="s">
        <v>18</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447</v>
      </c>
      <c r="B376" t="s">
        <v>61</v>
      </c>
      <c r="C376">
        <v>5</v>
      </c>
      <c r="D376">
        <v>65.5</v>
      </c>
      <c r="E376">
        <v>327.5</v>
      </c>
      <c r="F376" s="1">
        <v>45674</v>
      </c>
      <c r="G376" s="1">
        <v>45674</v>
      </c>
      <c r="H376" t="s">
        <v>8</v>
      </c>
      <c r="I376" t="s">
        <v>20</v>
      </c>
      <c r="J376">
        <v>4</v>
      </c>
      <c r="K376" t="s">
        <v>4</v>
      </c>
      <c r="L376" t="s">
        <v>18</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448</v>
      </c>
      <c r="B377" t="s">
        <v>24</v>
      </c>
      <c r="C377">
        <v>3</v>
      </c>
      <c r="D377">
        <v>90.1</v>
      </c>
      <c r="E377">
        <v>270.29999999999995</v>
      </c>
      <c r="F377" s="1">
        <v>45674</v>
      </c>
      <c r="G377" s="1">
        <v>45676</v>
      </c>
      <c r="H377" t="s">
        <v>12</v>
      </c>
      <c r="I377" t="s">
        <v>3</v>
      </c>
      <c r="J377">
        <v>4</v>
      </c>
      <c r="K377" t="s">
        <v>4</v>
      </c>
      <c r="L377" t="s">
        <v>18</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449</v>
      </c>
      <c r="B378" t="s">
        <v>7</v>
      </c>
      <c r="C378">
        <v>2</v>
      </c>
      <c r="D378">
        <v>108.3</v>
      </c>
      <c r="E378">
        <v>216.6</v>
      </c>
      <c r="F378" s="1">
        <v>45674</v>
      </c>
      <c r="G378" s="1">
        <v>45677</v>
      </c>
      <c r="H378" t="s">
        <v>74</v>
      </c>
      <c r="I378" t="s">
        <v>55</v>
      </c>
      <c r="J378">
        <v>4</v>
      </c>
      <c r="K378" t="s">
        <v>4</v>
      </c>
      <c r="L378" t="s">
        <v>18</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450</v>
      </c>
      <c r="B379" t="s">
        <v>22</v>
      </c>
      <c r="C379">
        <v>3</v>
      </c>
      <c r="D379">
        <v>59.9</v>
      </c>
      <c r="E379">
        <v>179.7</v>
      </c>
      <c r="F379" s="1">
        <v>45674</v>
      </c>
      <c r="G379" s="1">
        <v>45678</v>
      </c>
      <c r="H379" t="s">
        <v>12</v>
      </c>
      <c r="I379" t="s">
        <v>3</v>
      </c>
      <c r="J379">
        <v>4</v>
      </c>
      <c r="K379" t="s">
        <v>4</v>
      </c>
      <c r="L379" t="s">
        <v>18</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451</v>
      </c>
      <c r="B380" t="s">
        <v>11</v>
      </c>
      <c r="C380">
        <v>17</v>
      </c>
      <c r="D380">
        <v>139</v>
      </c>
      <c r="E380">
        <v>2363</v>
      </c>
      <c r="F380" s="1">
        <v>45674</v>
      </c>
      <c r="G380" s="1">
        <v>45676</v>
      </c>
      <c r="H380" t="s">
        <v>12</v>
      </c>
      <c r="I380" t="s">
        <v>20</v>
      </c>
      <c r="J380">
        <v>2</v>
      </c>
      <c r="K380" t="s">
        <v>4</v>
      </c>
      <c r="L380" t="s">
        <v>18</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452</v>
      </c>
      <c r="B381" t="s">
        <v>24</v>
      </c>
      <c r="C381">
        <v>3</v>
      </c>
      <c r="D381">
        <v>87.3</v>
      </c>
      <c r="E381">
        <v>261.89999999999998</v>
      </c>
      <c r="F381" s="1">
        <v>45674</v>
      </c>
      <c r="G381" s="1">
        <v>45675</v>
      </c>
      <c r="H381" t="s">
        <v>12</v>
      </c>
      <c r="I381" t="s">
        <v>3</v>
      </c>
      <c r="J381">
        <v>4</v>
      </c>
      <c r="K381" t="s">
        <v>4</v>
      </c>
      <c r="L381" t="s">
        <v>18</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453</v>
      </c>
      <c r="B382" t="s">
        <v>52</v>
      </c>
      <c r="C382">
        <v>4</v>
      </c>
      <c r="D382">
        <v>42.3</v>
      </c>
      <c r="E382">
        <v>169.2</v>
      </c>
      <c r="F382" s="1">
        <v>45674</v>
      </c>
      <c r="G382" s="1">
        <v>45674</v>
      </c>
      <c r="H382" t="s">
        <v>8</v>
      </c>
      <c r="I382" t="s">
        <v>3</v>
      </c>
      <c r="J382">
        <v>4</v>
      </c>
      <c r="K382" t="s">
        <v>4</v>
      </c>
      <c r="L382" t="s">
        <v>18</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454</v>
      </c>
      <c r="B383" t="s">
        <v>66</v>
      </c>
      <c r="C383">
        <v>8</v>
      </c>
      <c r="D383">
        <v>103.6</v>
      </c>
      <c r="E383">
        <v>828.8</v>
      </c>
      <c r="F383" s="1">
        <v>45674</v>
      </c>
      <c r="G383" s="1">
        <v>45675</v>
      </c>
      <c r="H383" t="s">
        <v>74</v>
      </c>
      <c r="I383" t="s">
        <v>3</v>
      </c>
      <c r="J383">
        <v>3</v>
      </c>
      <c r="K383" t="s">
        <v>4</v>
      </c>
      <c r="L383" t="s">
        <v>18</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455</v>
      </c>
      <c r="B384" t="s">
        <v>24</v>
      </c>
      <c r="C384">
        <v>2</v>
      </c>
      <c r="D384">
        <v>90.9</v>
      </c>
      <c r="E384">
        <v>181.8</v>
      </c>
      <c r="F384" s="1">
        <v>45674</v>
      </c>
      <c r="G384" s="1">
        <v>45675</v>
      </c>
      <c r="H384" t="s">
        <v>8</v>
      </c>
      <c r="I384" t="s">
        <v>20</v>
      </c>
      <c r="J384">
        <v>4</v>
      </c>
      <c r="K384" t="s">
        <v>4</v>
      </c>
      <c r="L384" t="s">
        <v>40</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456</v>
      </c>
      <c r="B385" t="s">
        <v>31</v>
      </c>
      <c r="C385">
        <v>16</v>
      </c>
      <c r="D385">
        <v>100.9</v>
      </c>
      <c r="E385">
        <v>1614.4</v>
      </c>
      <c r="F385" s="1">
        <v>45674</v>
      </c>
      <c r="G385" s="1">
        <v>45675</v>
      </c>
      <c r="H385" t="s">
        <v>12</v>
      </c>
      <c r="I385" t="s">
        <v>20</v>
      </c>
      <c r="J385">
        <v>4</v>
      </c>
      <c r="K385" t="s">
        <v>4</v>
      </c>
      <c r="L385" t="s">
        <v>40</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457</v>
      </c>
      <c r="B386" t="s">
        <v>17</v>
      </c>
      <c r="C386">
        <v>5</v>
      </c>
      <c r="D386">
        <v>36</v>
      </c>
      <c r="E386">
        <v>180</v>
      </c>
      <c r="F386" s="1">
        <v>45674</v>
      </c>
      <c r="G386" s="1">
        <v>45676</v>
      </c>
      <c r="H386" t="s">
        <v>12</v>
      </c>
      <c r="I386" t="s">
        <v>20</v>
      </c>
      <c r="J386">
        <v>4</v>
      </c>
      <c r="K386" t="s">
        <v>4</v>
      </c>
      <c r="L386" t="s">
        <v>44</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458</v>
      </c>
      <c r="B387" t="s">
        <v>24</v>
      </c>
      <c r="C387">
        <v>6</v>
      </c>
      <c r="D387">
        <v>83.3</v>
      </c>
      <c r="E387">
        <v>499.79999999999995</v>
      </c>
      <c r="F387" s="1">
        <v>45674</v>
      </c>
      <c r="G387" s="1">
        <v>45677</v>
      </c>
      <c r="H387" t="s">
        <v>2</v>
      </c>
      <c r="I387" t="s">
        <v>25</v>
      </c>
      <c r="J387">
        <v>4</v>
      </c>
      <c r="K387" t="s">
        <v>4</v>
      </c>
      <c r="L387" t="s">
        <v>44</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459</v>
      </c>
      <c r="B388" t="s">
        <v>11</v>
      </c>
      <c r="C388">
        <v>17</v>
      </c>
      <c r="D388">
        <v>60.3</v>
      </c>
      <c r="E388">
        <v>1025.0999999999999</v>
      </c>
      <c r="F388" s="1">
        <v>45674</v>
      </c>
      <c r="G388" s="1">
        <v>45675</v>
      </c>
      <c r="H388" t="s">
        <v>8</v>
      </c>
      <c r="I388" t="s">
        <v>25</v>
      </c>
      <c r="J388">
        <v>3</v>
      </c>
      <c r="K388" t="s">
        <v>4</v>
      </c>
      <c r="L388" t="s">
        <v>44</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460</v>
      </c>
      <c r="B389" t="s">
        <v>11</v>
      </c>
      <c r="C389">
        <v>6</v>
      </c>
      <c r="D389">
        <v>120.3</v>
      </c>
      <c r="E389">
        <v>721.8</v>
      </c>
      <c r="F389" s="1">
        <v>45674</v>
      </c>
      <c r="G389" s="1">
        <v>45675</v>
      </c>
      <c r="H389" t="s">
        <v>8</v>
      </c>
      <c r="I389" t="s">
        <v>25</v>
      </c>
      <c r="J389">
        <v>4</v>
      </c>
      <c r="K389" t="s">
        <v>4</v>
      </c>
      <c r="L389" t="s">
        <v>47</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461</v>
      </c>
      <c r="B390" t="s">
        <v>17</v>
      </c>
      <c r="C390">
        <v>10</v>
      </c>
      <c r="D390">
        <v>34</v>
      </c>
      <c r="E390">
        <v>340</v>
      </c>
      <c r="F390" s="1">
        <v>45674</v>
      </c>
      <c r="G390" s="1">
        <v>45678</v>
      </c>
      <c r="H390" t="s">
        <v>12</v>
      </c>
      <c r="I390" t="s">
        <v>25</v>
      </c>
      <c r="J390">
        <v>4</v>
      </c>
      <c r="K390" t="s">
        <v>4</v>
      </c>
      <c r="L390" t="s">
        <v>47</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462</v>
      </c>
      <c r="B391" t="s">
        <v>39</v>
      </c>
      <c r="C391">
        <v>5</v>
      </c>
      <c r="D391">
        <v>42.6</v>
      </c>
      <c r="E391">
        <v>213</v>
      </c>
      <c r="F391" s="1">
        <v>45674</v>
      </c>
      <c r="G391" s="1">
        <v>45677</v>
      </c>
      <c r="H391" t="s">
        <v>8</v>
      </c>
      <c r="I391" t="s">
        <v>20</v>
      </c>
      <c r="J391">
        <v>4</v>
      </c>
      <c r="K391" t="s">
        <v>4</v>
      </c>
      <c r="L391" t="s">
        <v>47</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463</v>
      </c>
      <c r="B392" t="s">
        <v>22</v>
      </c>
      <c r="C392">
        <v>20</v>
      </c>
      <c r="D392">
        <v>47.4</v>
      </c>
      <c r="E392">
        <v>948</v>
      </c>
      <c r="F392" s="1">
        <v>45674</v>
      </c>
      <c r="G392" s="1">
        <v>45674</v>
      </c>
      <c r="H392" t="s">
        <v>12</v>
      </c>
      <c r="I392" t="s">
        <v>25</v>
      </c>
      <c r="J392">
        <v>3</v>
      </c>
      <c r="K392" t="s">
        <v>4</v>
      </c>
      <c r="L392" t="s">
        <v>88</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464</v>
      </c>
      <c r="B393" t="s">
        <v>11</v>
      </c>
      <c r="C393">
        <v>1</v>
      </c>
      <c r="D393">
        <v>74</v>
      </c>
      <c r="E393">
        <v>74</v>
      </c>
      <c r="F393" s="1">
        <v>45675</v>
      </c>
      <c r="G393" s="1">
        <v>45676</v>
      </c>
      <c r="H393" t="s">
        <v>8</v>
      </c>
      <c r="I393" t="s">
        <v>20</v>
      </c>
      <c r="J393">
        <v>4</v>
      </c>
      <c r="K393" t="s">
        <v>4</v>
      </c>
      <c r="L393" t="s">
        <v>62</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465</v>
      </c>
      <c r="B394" t="s">
        <v>11</v>
      </c>
      <c r="C394">
        <v>5</v>
      </c>
      <c r="D394">
        <v>60.4</v>
      </c>
      <c r="E394">
        <v>302</v>
      </c>
      <c r="F394" s="1">
        <v>45675</v>
      </c>
      <c r="G394" s="1">
        <v>45678</v>
      </c>
      <c r="H394" t="s">
        <v>12</v>
      </c>
      <c r="I394" t="s">
        <v>20</v>
      </c>
      <c r="J394">
        <v>2</v>
      </c>
      <c r="K394" t="s">
        <v>4</v>
      </c>
      <c r="L394" t="s">
        <v>93</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466</v>
      </c>
      <c r="B395" t="s">
        <v>54</v>
      </c>
      <c r="C395">
        <v>2</v>
      </c>
      <c r="D395">
        <v>69.3</v>
      </c>
      <c r="E395">
        <v>138.6</v>
      </c>
      <c r="F395" s="1">
        <v>45675</v>
      </c>
      <c r="G395" s="1">
        <v>45678</v>
      </c>
      <c r="H395" t="s">
        <v>8</v>
      </c>
      <c r="I395" t="s">
        <v>20</v>
      </c>
      <c r="J395">
        <v>3</v>
      </c>
      <c r="K395" t="s">
        <v>4</v>
      </c>
      <c r="L395" t="s">
        <v>67</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467</v>
      </c>
      <c r="B396" t="s">
        <v>22</v>
      </c>
      <c r="C396">
        <v>5</v>
      </c>
      <c r="D396">
        <v>81</v>
      </c>
      <c r="E396">
        <v>405</v>
      </c>
      <c r="F396" s="1">
        <v>45675</v>
      </c>
      <c r="G396" s="1">
        <v>45681</v>
      </c>
      <c r="H396" t="s">
        <v>8</v>
      </c>
      <c r="I396" t="s">
        <v>36</v>
      </c>
      <c r="J396">
        <v>4</v>
      </c>
      <c r="K396" t="s">
        <v>4</v>
      </c>
      <c r="L396" t="s">
        <v>100</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468</v>
      </c>
      <c r="B397" t="s">
        <v>108</v>
      </c>
      <c r="C397">
        <v>3</v>
      </c>
      <c r="D397">
        <v>41.5</v>
      </c>
      <c r="E397">
        <v>124.5</v>
      </c>
      <c r="F397" s="1">
        <v>45675</v>
      </c>
      <c r="G397" s="1">
        <v>45677</v>
      </c>
      <c r="H397" t="s">
        <v>74</v>
      </c>
      <c r="I397" t="s">
        <v>20</v>
      </c>
      <c r="J397">
        <v>4</v>
      </c>
      <c r="K397" t="s">
        <v>4</v>
      </c>
      <c r="L397" t="s">
        <v>100</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469</v>
      </c>
      <c r="B398" t="s">
        <v>131</v>
      </c>
      <c r="C398">
        <v>2</v>
      </c>
      <c r="D398">
        <v>69.7</v>
      </c>
      <c r="E398">
        <v>139.4</v>
      </c>
      <c r="F398" s="1">
        <v>45675</v>
      </c>
      <c r="G398" s="1">
        <v>45680</v>
      </c>
      <c r="H398" t="s">
        <v>8</v>
      </c>
      <c r="I398" t="s">
        <v>20</v>
      </c>
      <c r="J398">
        <v>4</v>
      </c>
      <c r="K398" t="s">
        <v>4</v>
      </c>
      <c r="L398" t="s">
        <v>100</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470</v>
      </c>
      <c r="B399" t="s">
        <v>11</v>
      </c>
      <c r="C399">
        <v>5</v>
      </c>
      <c r="D399">
        <v>83.6</v>
      </c>
      <c r="E399">
        <v>418</v>
      </c>
      <c r="F399" s="1">
        <v>45675</v>
      </c>
      <c r="G399" s="1">
        <v>45675</v>
      </c>
      <c r="H399" t="s">
        <v>12</v>
      </c>
      <c r="I399" t="s">
        <v>55</v>
      </c>
      <c r="J399">
        <v>4</v>
      </c>
      <c r="K399" t="s">
        <v>4</v>
      </c>
      <c r="L399" t="s">
        <v>9</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471</v>
      </c>
      <c r="B400" t="s">
        <v>29</v>
      </c>
      <c r="C400">
        <v>7</v>
      </c>
      <c r="D400">
        <v>21.5</v>
      </c>
      <c r="E400">
        <v>150.5</v>
      </c>
      <c r="F400" s="1">
        <v>45675</v>
      </c>
      <c r="G400" s="1">
        <v>45677</v>
      </c>
      <c r="H400" t="s">
        <v>8</v>
      </c>
      <c r="I400" t="s">
        <v>20</v>
      </c>
      <c r="J400">
        <v>2</v>
      </c>
      <c r="K400" t="s">
        <v>4</v>
      </c>
      <c r="L400" t="s">
        <v>319</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472</v>
      </c>
      <c r="B401" t="s">
        <v>29</v>
      </c>
      <c r="C401">
        <v>8</v>
      </c>
      <c r="D401">
        <v>28.6</v>
      </c>
      <c r="E401">
        <v>228.8</v>
      </c>
      <c r="F401" s="1">
        <v>45675</v>
      </c>
      <c r="G401" s="1">
        <v>45676</v>
      </c>
      <c r="H401" t="s">
        <v>8</v>
      </c>
      <c r="I401" t="s">
        <v>3</v>
      </c>
      <c r="J401">
        <v>4</v>
      </c>
      <c r="K401" t="s">
        <v>4</v>
      </c>
      <c r="L401" t="s">
        <v>18</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473</v>
      </c>
      <c r="B402" t="s">
        <v>29</v>
      </c>
      <c r="C402">
        <v>6</v>
      </c>
      <c r="D402">
        <v>18.8</v>
      </c>
      <c r="E402">
        <v>112.80000000000001</v>
      </c>
      <c r="F402" s="1">
        <v>45675</v>
      </c>
      <c r="G402" s="1">
        <v>45678</v>
      </c>
      <c r="H402" t="s">
        <v>8</v>
      </c>
      <c r="I402" t="s">
        <v>36</v>
      </c>
      <c r="J402">
        <v>5</v>
      </c>
      <c r="K402" t="s">
        <v>4</v>
      </c>
      <c r="L402" t="s">
        <v>18</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474</v>
      </c>
      <c r="B403" t="s">
        <v>39</v>
      </c>
      <c r="C403">
        <v>4</v>
      </c>
      <c r="D403">
        <v>35.1</v>
      </c>
      <c r="E403">
        <v>140.4</v>
      </c>
      <c r="F403" s="1">
        <v>45675</v>
      </c>
      <c r="G403" s="1">
        <v>45675</v>
      </c>
      <c r="H403" t="s">
        <v>12</v>
      </c>
      <c r="I403" t="s">
        <v>20</v>
      </c>
      <c r="J403">
        <v>3</v>
      </c>
      <c r="K403" t="s">
        <v>4</v>
      </c>
      <c r="L403" t="s">
        <v>18</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475</v>
      </c>
      <c r="B404" t="s">
        <v>1</v>
      </c>
      <c r="C404">
        <v>2</v>
      </c>
      <c r="D404">
        <v>12.7</v>
      </c>
      <c r="E404">
        <v>25.4</v>
      </c>
      <c r="F404" s="1">
        <v>45675</v>
      </c>
      <c r="G404" s="1">
        <v>45677</v>
      </c>
      <c r="H404" t="s">
        <v>12</v>
      </c>
      <c r="I404" t="s">
        <v>20</v>
      </c>
      <c r="J404">
        <v>5</v>
      </c>
      <c r="K404" t="s">
        <v>4</v>
      </c>
      <c r="L404" t="s">
        <v>18</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476</v>
      </c>
      <c r="B405" t="s">
        <v>29</v>
      </c>
      <c r="C405">
        <v>5</v>
      </c>
      <c r="D405">
        <v>27.4</v>
      </c>
      <c r="E405">
        <v>137</v>
      </c>
      <c r="F405" s="1">
        <v>45675</v>
      </c>
      <c r="G405" s="1">
        <v>45677</v>
      </c>
      <c r="H405" t="s">
        <v>74</v>
      </c>
      <c r="I405" t="s">
        <v>3</v>
      </c>
      <c r="J405">
        <v>4</v>
      </c>
      <c r="K405" t="s">
        <v>4</v>
      </c>
      <c r="L405" t="s">
        <v>18</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477</v>
      </c>
      <c r="B406" t="s">
        <v>39</v>
      </c>
      <c r="C406">
        <v>2</v>
      </c>
      <c r="D406">
        <v>61.3</v>
      </c>
      <c r="E406">
        <v>122.6</v>
      </c>
      <c r="F406" s="1">
        <v>45675</v>
      </c>
      <c r="G406" s="1">
        <v>45676</v>
      </c>
      <c r="H406" t="s">
        <v>12</v>
      </c>
      <c r="I406" t="s">
        <v>20</v>
      </c>
      <c r="J406">
        <v>4</v>
      </c>
      <c r="K406" t="s">
        <v>4</v>
      </c>
      <c r="L406" t="s">
        <v>40</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478</v>
      </c>
      <c r="B407" t="s">
        <v>29</v>
      </c>
      <c r="C407">
        <v>2</v>
      </c>
      <c r="D407">
        <v>64.7</v>
      </c>
      <c r="E407">
        <v>129.4</v>
      </c>
      <c r="F407" s="1">
        <v>45675</v>
      </c>
      <c r="G407" s="1">
        <v>45677</v>
      </c>
      <c r="H407" t="s">
        <v>12</v>
      </c>
      <c r="I407" t="s">
        <v>36</v>
      </c>
      <c r="J407">
        <v>5</v>
      </c>
      <c r="K407" t="s">
        <v>4</v>
      </c>
      <c r="L407" t="s">
        <v>40</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479</v>
      </c>
      <c r="B408" t="s">
        <v>27</v>
      </c>
      <c r="C408">
        <v>4</v>
      </c>
      <c r="D408">
        <v>91.4</v>
      </c>
      <c r="E408">
        <v>365.6</v>
      </c>
      <c r="F408" s="1">
        <v>45675</v>
      </c>
      <c r="G408" s="1">
        <v>45677</v>
      </c>
      <c r="H408" t="s">
        <v>12</v>
      </c>
      <c r="I408" t="s">
        <v>3</v>
      </c>
      <c r="J408">
        <v>4</v>
      </c>
      <c r="K408" t="s">
        <v>4</v>
      </c>
      <c r="L408" t="s">
        <v>47</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480</v>
      </c>
      <c r="B409" t="s">
        <v>1</v>
      </c>
      <c r="C409">
        <v>2</v>
      </c>
      <c r="D409">
        <v>33.1</v>
      </c>
      <c r="E409">
        <v>66.2</v>
      </c>
      <c r="F409" s="1">
        <v>45676</v>
      </c>
      <c r="G409" s="1">
        <v>45677</v>
      </c>
      <c r="H409" t="s">
        <v>8</v>
      </c>
      <c r="I409" t="s">
        <v>3</v>
      </c>
      <c r="J409">
        <v>5</v>
      </c>
      <c r="K409" t="s">
        <v>4</v>
      </c>
      <c r="L409" t="s">
        <v>47</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481</v>
      </c>
      <c r="B410" t="s">
        <v>15</v>
      </c>
      <c r="C410">
        <v>2</v>
      </c>
      <c r="D410">
        <v>105.6</v>
      </c>
      <c r="E410">
        <v>211.2</v>
      </c>
      <c r="F410" s="1">
        <v>45676</v>
      </c>
      <c r="G410" s="1">
        <v>45677</v>
      </c>
      <c r="H410" t="s">
        <v>8</v>
      </c>
      <c r="I410" t="s">
        <v>25</v>
      </c>
      <c r="J410">
        <v>3</v>
      </c>
      <c r="K410" t="s">
        <v>4</v>
      </c>
      <c r="L410" t="s">
        <v>47</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482</v>
      </c>
      <c r="B411" t="s">
        <v>39</v>
      </c>
      <c r="C411">
        <v>3</v>
      </c>
      <c r="D411">
        <v>46.4</v>
      </c>
      <c r="E411">
        <v>139.19999999999999</v>
      </c>
      <c r="F411" s="1">
        <v>45676</v>
      </c>
      <c r="G411" s="1">
        <v>45677</v>
      </c>
      <c r="H411" t="s">
        <v>8</v>
      </c>
      <c r="I411" t="s">
        <v>25</v>
      </c>
      <c r="J411">
        <v>4</v>
      </c>
      <c r="K411" t="s">
        <v>4</v>
      </c>
      <c r="L411" t="s">
        <v>57</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483</v>
      </c>
      <c r="B412" t="s">
        <v>31</v>
      </c>
      <c r="C412">
        <v>14</v>
      </c>
      <c r="D412">
        <v>35.299999999999997</v>
      </c>
      <c r="E412">
        <v>494.19999999999993</v>
      </c>
      <c r="F412" s="1">
        <v>45676</v>
      </c>
      <c r="G412" s="1">
        <v>45679</v>
      </c>
      <c r="H412" t="s">
        <v>12</v>
      </c>
      <c r="I412" t="s">
        <v>55</v>
      </c>
      <c r="J412">
        <v>3</v>
      </c>
      <c r="K412" t="s">
        <v>4</v>
      </c>
      <c r="L412" t="s">
        <v>62</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484</v>
      </c>
      <c r="B413" t="s">
        <v>1</v>
      </c>
      <c r="C413">
        <v>2</v>
      </c>
      <c r="D413">
        <v>16.100000000000001</v>
      </c>
      <c r="E413">
        <v>32.200000000000003</v>
      </c>
      <c r="F413" s="1">
        <v>45676</v>
      </c>
      <c r="G413" s="1">
        <v>45678</v>
      </c>
      <c r="H413" t="s">
        <v>8</v>
      </c>
      <c r="I413" t="s">
        <v>36</v>
      </c>
      <c r="J413">
        <v>5</v>
      </c>
      <c r="K413" t="s">
        <v>4</v>
      </c>
      <c r="L413" t="s">
        <v>294</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485</v>
      </c>
      <c r="B414" t="s">
        <v>17</v>
      </c>
      <c r="C414">
        <v>2</v>
      </c>
      <c r="D414">
        <v>27.9</v>
      </c>
      <c r="E414">
        <v>55.8</v>
      </c>
      <c r="F414" s="1">
        <v>45676</v>
      </c>
      <c r="G414" s="1">
        <v>45679</v>
      </c>
      <c r="H414" t="s">
        <v>8</v>
      </c>
      <c r="I414" t="s">
        <v>3</v>
      </c>
      <c r="J414">
        <v>4</v>
      </c>
      <c r="K414" t="s">
        <v>4</v>
      </c>
      <c r="L414" t="s">
        <v>67</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486</v>
      </c>
      <c r="B415" t="s">
        <v>29</v>
      </c>
      <c r="C415">
        <v>1</v>
      </c>
      <c r="D415">
        <v>47.1</v>
      </c>
      <c r="E415">
        <v>47.1</v>
      </c>
      <c r="F415" s="1">
        <v>45676</v>
      </c>
      <c r="G415" s="1">
        <v>45684</v>
      </c>
      <c r="H415" t="s">
        <v>12</v>
      </c>
      <c r="I415" t="s">
        <v>20</v>
      </c>
      <c r="J415">
        <v>4</v>
      </c>
      <c r="K415" t="s">
        <v>4</v>
      </c>
      <c r="L415" t="s">
        <v>13</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487</v>
      </c>
      <c r="B416" t="s">
        <v>24</v>
      </c>
      <c r="C416">
        <v>2</v>
      </c>
      <c r="D416">
        <v>85</v>
      </c>
      <c r="E416">
        <v>170</v>
      </c>
      <c r="F416" s="1">
        <v>45676</v>
      </c>
      <c r="G416" s="1">
        <v>45679</v>
      </c>
      <c r="H416" t="s">
        <v>2</v>
      </c>
      <c r="I416" t="s">
        <v>25</v>
      </c>
      <c r="J416">
        <v>5</v>
      </c>
      <c r="K416" t="s">
        <v>4</v>
      </c>
      <c r="L416" t="s">
        <v>132</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488</v>
      </c>
      <c r="B417" t="s">
        <v>131</v>
      </c>
      <c r="C417">
        <v>2</v>
      </c>
      <c r="D417">
        <v>89</v>
      </c>
      <c r="E417">
        <v>178</v>
      </c>
      <c r="F417" s="1">
        <v>45676</v>
      </c>
      <c r="G417" s="1">
        <v>45678</v>
      </c>
      <c r="H417" t="s">
        <v>12</v>
      </c>
      <c r="I417" t="s">
        <v>3</v>
      </c>
      <c r="J417">
        <v>4</v>
      </c>
      <c r="K417" t="s">
        <v>4</v>
      </c>
      <c r="L417" t="s">
        <v>18</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489</v>
      </c>
      <c r="B418" t="s">
        <v>113</v>
      </c>
      <c r="C418">
        <v>3</v>
      </c>
      <c r="D418">
        <v>36.6</v>
      </c>
      <c r="E418">
        <v>109.80000000000001</v>
      </c>
      <c r="F418" s="1">
        <v>45676</v>
      </c>
      <c r="G418" s="1">
        <v>45677</v>
      </c>
      <c r="H418" t="s">
        <v>74</v>
      </c>
      <c r="I418" t="s">
        <v>36</v>
      </c>
      <c r="J418">
        <v>5</v>
      </c>
      <c r="K418" t="s">
        <v>4</v>
      </c>
      <c r="L418" t="s">
        <v>18</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490</v>
      </c>
      <c r="B419" t="s">
        <v>24</v>
      </c>
      <c r="C419">
        <v>7</v>
      </c>
      <c r="D419">
        <v>43.5</v>
      </c>
      <c r="E419">
        <v>304.5</v>
      </c>
      <c r="F419" s="1">
        <v>45676</v>
      </c>
      <c r="G419" s="1">
        <v>45677</v>
      </c>
      <c r="H419" t="s">
        <v>8</v>
      </c>
      <c r="I419" t="s">
        <v>20</v>
      </c>
      <c r="J419">
        <v>5</v>
      </c>
      <c r="K419" t="s">
        <v>4</v>
      </c>
      <c r="L419" t="s">
        <v>18</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491</v>
      </c>
      <c r="B420" t="s">
        <v>31</v>
      </c>
      <c r="C420">
        <v>19</v>
      </c>
      <c r="D420">
        <v>30.5</v>
      </c>
      <c r="E420">
        <v>579.5</v>
      </c>
      <c r="F420" s="1">
        <v>45676</v>
      </c>
      <c r="G420" s="1">
        <v>45676</v>
      </c>
      <c r="H420" t="s">
        <v>12</v>
      </c>
      <c r="I420" t="s">
        <v>36</v>
      </c>
      <c r="J420">
        <v>4</v>
      </c>
      <c r="K420" t="s">
        <v>4</v>
      </c>
      <c r="L420" t="s">
        <v>18</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492</v>
      </c>
      <c r="B421" t="s">
        <v>7</v>
      </c>
      <c r="C421">
        <v>2</v>
      </c>
      <c r="D421">
        <v>107.7</v>
      </c>
      <c r="E421">
        <v>215.4</v>
      </c>
      <c r="F421" s="1">
        <v>45676</v>
      </c>
      <c r="G421" s="1">
        <v>45680</v>
      </c>
      <c r="H421" t="s">
        <v>8</v>
      </c>
      <c r="I421" t="s">
        <v>36</v>
      </c>
      <c r="J421">
        <v>2</v>
      </c>
      <c r="K421" t="s">
        <v>4</v>
      </c>
      <c r="L421" t="s">
        <v>18</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493</v>
      </c>
      <c r="B422" t="s">
        <v>120</v>
      </c>
      <c r="C422">
        <v>26</v>
      </c>
      <c r="D422">
        <v>57.1</v>
      </c>
      <c r="E422">
        <v>1484.6000000000001</v>
      </c>
      <c r="F422" s="1">
        <v>45676</v>
      </c>
      <c r="G422" s="1">
        <v>45677</v>
      </c>
      <c r="H422" t="s">
        <v>8</v>
      </c>
      <c r="I422" t="s">
        <v>20</v>
      </c>
      <c r="J422">
        <v>4</v>
      </c>
      <c r="K422" t="s">
        <v>4</v>
      </c>
      <c r="L422" t="s">
        <v>18</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494</v>
      </c>
      <c r="B423" t="s">
        <v>11</v>
      </c>
      <c r="C423">
        <v>10</v>
      </c>
      <c r="D423">
        <v>111.7</v>
      </c>
      <c r="E423">
        <v>1117</v>
      </c>
      <c r="F423" s="1">
        <v>45676</v>
      </c>
      <c r="G423" s="1">
        <v>45677</v>
      </c>
      <c r="H423" t="s">
        <v>12</v>
      </c>
      <c r="I423" t="s">
        <v>55</v>
      </c>
      <c r="J423">
        <v>5</v>
      </c>
      <c r="K423" t="s">
        <v>4</v>
      </c>
      <c r="L423" t="s">
        <v>18</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495</v>
      </c>
      <c r="B424" t="s">
        <v>131</v>
      </c>
      <c r="C424">
        <v>7</v>
      </c>
      <c r="D424">
        <v>44.3</v>
      </c>
      <c r="E424">
        <v>310.09999999999997</v>
      </c>
      <c r="F424" s="1">
        <v>45676</v>
      </c>
      <c r="G424" s="1">
        <v>45679</v>
      </c>
      <c r="H424" t="s">
        <v>8</v>
      </c>
      <c r="I424" t="s">
        <v>36</v>
      </c>
      <c r="J424">
        <v>5</v>
      </c>
      <c r="K424" t="s">
        <v>4</v>
      </c>
      <c r="L424" t="s">
        <v>18</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496</v>
      </c>
      <c r="B425" t="s">
        <v>11</v>
      </c>
      <c r="C425">
        <v>8</v>
      </c>
      <c r="D425">
        <v>95.8</v>
      </c>
      <c r="E425">
        <v>766.4</v>
      </c>
      <c r="F425" s="1">
        <v>45676</v>
      </c>
      <c r="G425" s="1">
        <v>45682</v>
      </c>
      <c r="H425" t="s">
        <v>74</v>
      </c>
      <c r="I425" t="s">
        <v>3</v>
      </c>
      <c r="J425">
        <v>4</v>
      </c>
      <c r="K425" t="s">
        <v>4</v>
      </c>
      <c r="L425" t="s">
        <v>18</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497</v>
      </c>
      <c r="B426" t="s">
        <v>39</v>
      </c>
      <c r="C426">
        <v>7</v>
      </c>
      <c r="D426">
        <v>22.6</v>
      </c>
      <c r="E426">
        <v>158.20000000000002</v>
      </c>
      <c r="F426" s="1">
        <v>45676</v>
      </c>
      <c r="G426" s="1">
        <v>45679</v>
      </c>
      <c r="H426" t="s">
        <v>12</v>
      </c>
      <c r="I426" t="s">
        <v>36</v>
      </c>
      <c r="J426">
        <v>3</v>
      </c>
      <c r="K426" t="s">
        <v>4</v>
      </c>
      <c r="L426" t="s">
        <v>18</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498</v>
      </c>
      <c r="B427" t="s">
        <v>29</v>
      </c>
      <c r="C427">
        <v>8</v>
      </c>
      <c r="D427">
        <v>25.6</v>
      </c>
      <c r="E427">
        <v>204.8</v>
      </c>
      <c r="F427" s="1">
        <v>45676</v>
      </c>
      <c r="G427" s="1">
        <v>45678</v>
      </c>
      <c r="H427" t="s">
        <v>12</v>
      </c>
      <c r="I427" t="s">
        <v>55</v>
      </c>
      <c r="J427">
        <v>4</v>
      </c>
      <c r="K427" t="s">
        <v>4</v>
      </c>
      <c r="L427" t="s">
        <v>18</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499</v>
      </c>
      <c r="B428" t="s">
        <v>24</v>
      </c>
      <c r="C428">
        <v>16</v>
      </c>
      <c r="D428">
        <v>54.3</v>
      </c>
      <c r="E428">
        <v>868.8</v>
      </c>
      <c r="F428" s="1">
        <v>45676</v>
      </c>
      <c r="G428" s="1">
        <v>45679</v>
      </c>
      <c r="H428" t="s">
        <v>12</v>
      </c>
      <c r="I428" t="s">
        <v>55</v>
      </c>
      <c r="J428">
        <v>4</v>
      </c>
      <c r="K428" t="s">
        <v>4</v>
      </c>
      <c r="L428" t="s">
        <v>18</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500</v>
      </c>
      <c r="B429" t="s">
        <v>131</v>
      </c>
      <c r="C429">
        <v>13</v>
      </c>
      <c r="D429">
        <v>51.3</v>
      </c>
      <c r="E429">
        <v>666.9</v>
      </c>
      <c r="F429" s="1">
        <v>45676</v>
      </c>
      <c r="G429" s="1">
        <v>45678</v>
      </c>
      <c r="H429" t="s">
        <v>8</v>
      </c>
      <c r="I429" t="s">
        <v>3</v>
      </c>
      <c r="J429">
        <v>5</v>
      </c>
      <c r="K429" t="s">
        <v>4</v>
      </c>
      <c r="L429" t="s">
        <v>18</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501</v>
      </c>
      <c r="B430" t="s">
        <v>1</v>
      </c>
      <c r="C430">
        <v>8</v>
      </c>
      <c r="D430">
        <v>25.6</v>
      </c>
      <c r="E430">
        <v>204.8</v>
      </c>
      <c r="F430" s="1">
        <v>45676</v>
      </c>
      <c r="G430" s="1">
        <v>45677</v>
      </c>
      <c r="H430" t="s">
        <v>12</v>
      </c>
      <c r="I430" t="s">
        <v>20</v>
      </c>
      <c r="J430">
        <v>3</v>
      </c>
      <c r="K430" t="s">
        <v>4</v>
      </c>
      <c r="L430" t="s">
        <v>18</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502</v>
      </c>
      <c r="B431" t="s">
        <v>1</v>
      </c>
      <c r="C431">
        <v>2</v>
      </c>
      <c r="D431">
        <v>15.6</v>
      </c>
      <c r="E431">
        <v>31.2</v>
      </c>
      <c r="F431" s="1">
        <v>45676</v>
      </c>
      <c r="G431" s="1">
        <v>45677</v>
      </c>
      <c r="H431" t="s">
        <v>12</v>
      </c>
      <c r="I431" t="s">
        <v>25</v>
      </c>
      <c r="J431">
        <v>5</v>
      </c>
      <c r="K431" t="s">
        <v>4</v>
      </c>
      <c r="L431" t="s">
        <v>18</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503</v>
      </c>
      <c r="B432" t="s">
        <v>29</v>
      </c>
      <c r="C432">
        <v>3</v>
      </c>
      <c r="D432">
        <v>30.3</v>
      </c>
      <c r="E432">
        <v>90.9</v>
      </c>
      <c r="F432" s="1">
        <v>45676</v>
      </c>
      <c r="G432" s="1">
        <v>45680</v>
      </c>
      <c r="H432" t="s">
        <v>12</v>
      </c>
      <c r="I432" t="s">
        <v>3</v>
      </c>
      <c r="J432">
        <v>3</v>
      </c>
      <c r="K432" t="s">
        <v>4</v>
      </c>
      <c r="L432" t="s">
        <v>18</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504</v>
      </c>
      <c r="B433" t="s">
        <v>54</v>
      </c>
      <c r="C433">
        <v>2</v>
      </c>
      <c r="D433">
        <v>30.3</v>
      </c>
      <c r="E433">
        <v>60.6</v>
      </c>
      <c r="F433" s="1">
        <v>45676</v>
      </c>
      <c r="G433" s="1">
        <v>45681</v>
      </c>
      <c r="H433" t="s">
        <v>12</v>
      </c>
      <c r="I433" t="s">
        <v>3</v>
      </c>
      <c r="J433">
        <v>5</v>
      </c>
      <c r="K433" t="s">
        <v>4</v>
      </c>
      <c r="L433" t="s">
        <v>349</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505</v>
      </c>
      <c r="B434" t="s">
        <v>39</v>
      </c>
      <c r="C434">
        <v>3</v>
      </c>
      <c r="D434">
        <v>53</v>
      </c>
      <c r="E434">
        <v>159</v>
      </c>
      <c r="F434" s="1">
        <v>45676</v>
      </c>
      <c r="G434" s="1">
        <v>45683</v>
      </c>
      <c r="H434" t="s">
        <v>12</v>
      </c>
      <c r="I434" t="s">
        <v>25</v>
      </c>
      <c r="J434">
        <v>4</v>
      </c>
      <c r="K434" t="s">
        <v>4</v>
      </c>
      <c r="L434" t="s">
        <v>171</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506</v>
      </c>
      <c r="B435" t="s">
        <v>22</v>
      </c>
      <c r="C435">
        <v>18</v>
      </c>
      <c r="D435">
        <v>59.9</v>
      </c>
      <c r="E435">
        <v>1078.2</v>
      </c>
      <c r="F435" s="1">
        <v>45676</v>
      </c>
      <c r="G435" s="1">
        <v>45679</v>
      </c>
      <c r="H435" t="s">
        <v>8</v>
      </c>
      <c r="I435" t="s">
        <v>25</v>
      </c>
      <c r="J435">
        <v>2</v>
      </c>
      <c r="K435" t="s">
        <v>4</v>
      </c>
      <c r="L435" t="s">
        <v>173</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507</v>
      </c>
      <c r="B436" t="s">
        <v>31</v>
      </c>
      <c r="C436">
        <v>2</v>
      </c>
      <c r="D436">
        <v>45.7</v>
      </c>
      <c r="E436">
        <v>91.4</v>
      </c>
      <c r="F436" s="1">
        <v>45676</v>
      </c>
      <c r="G436" s="1">
        <v>45677</v>
      </c>
      <c r="H436" t="s">
        <v>12</v>
      </c>
      <c r="I436" t="s">
        <v>20</v>
      </c>
      <c r="J436">
        <v>5</v>
      </c>
      <c r="K436" t="s">
        <v>4</v>
      </c>
      <c r="L436" t="s">
        <v>40</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508</v>
      </c>
      <c r="B437" t="s">
        <v>29</v>
      </c>
      <c r="C437">
        <v>4</v>
      </c>
      <c r="D437">
        <v>46.1</v>
      </c>
      <c r="E437">
        <v>184.4</v>
      </c>
      <c r="F437" s="1">
        <v>45676</v>
      </c>
      <c r="G437" s="1">
        <v>45677</v>
      </c>
      <c r="H437" t="s">
        <v>8</v>
      </c>
      <c r="I437" t="s">
        <v>3</v>
      </c>
      <c r="J437">
        <v>4</v>
      </c>
      <c r="K437" t="s">
        <v>4</v>
      </c>
      <c r="L437" t="s">
        <v>40</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509</v>
      </c>
      <c r="B438" t="s">
        <v>29</v>
      </c>
      <c r="C438">
        <v>3</v>
      </c>
      <c r="D438">
        <v>17.5</v>
      </c>
      <c r="E438">
        <v>52.5</v>
      </c>
      <c r="F438" s="1">
        <v>45676</v>
      </c>
      <c r="G438" s="1">
        <v>45677</v>
      </c>
      <c r="H438" t="s">
        <v>12</v>
      </c>
      <c r="I438" t="s">
        <v>3</v>
      </c>
      <c r="J438">
        <v>5</v>
      </c>
      <c r="K438" t="s">
        <v>4</v>
      </c>
      <c r="L438" t="s">
        <v>47</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510</v>
      </c>
      <c r="B439" t="s">
        <v>39</v>
      </c>
      <c r="C439">
        <v>3</v>
      </c>
      <c r="D439">
        <v>36.5</v>
      </c>
      <c r="E439">
        <v>109.5</v>
      </c>
      <c r="F439" s="1">
        <v>45676</v>
      </c>
      <c r="G439" s="1">
        <v>45687</v>
      </c>
      <c r="H439" t="s">
        <v>8</v>
      </c>
      <c r="I439" t="s">
        <v>25</v>
      </c>
      <c r="J439">
        <v>4</v>
      </c>
      <c r="K439" t="s">
        <v>4</v>
      </c>
      <c r="L439" t="s">
        <v>47</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511</v>
      </c>
      <c r="B440" t="s">
        <v>29</v>
      </c>
      <c r="C440">
        <v>2</v>
      </c>
      <c r="D440">
        <v>47.5</v>
      </c>
      <c r="E440">
        <v>95</v>
      </c>
      <c r="F440" s="1">
        <v>45677</v>
      </c>
      <c r="G440" s="1">
        <v>45679</v>
      </c>
      <c r="H440" t="s">
        <v>12</v>
      </c>
      <c r="I440" t="s">
        <v>20</v>
      </c>
      <c r="J440">
        <v>4</v>
      </c>
      <c r="K440" t="s">
        <v>4</v>
      </c>
      <c r="L440" t="s">
        <v>47</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512</v>
      </c>
      <c r="B441" t="s">
        <v>24</v>
      </c>
      <c r="C441">
        <v>5</v>
      </c>
      <c r="D441">
        <v>45.6</v>
      </c>
      <c r="E441">
        <v>228</v>
      </c>
      <c r="F441" s="1">
        <v>45677</v>
      </c>
      <c r="G441" s="1">
        <v>45679</v>
      </c>
      <c r="H441" t="s">
        <v>12</v>
      </c>
      <c r="I441" t="s">
        <v>3</v>
      </c>
      <c r="J441">
        <v>5</v>
      </c>
      <c r="K441" t="s">
        <v>4</v>
      </c>
      <c r="L441" t="s">
        <v>47</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513</v>
      </c>
      <c r="B442" t="s">
        <v>31</v>
      </c>
      <c r="C442">
        <v>2</v>
      </c>
      <c r="D442">
        <v>50.5</v>
      </c>
      <c r="E442">
        <v>101</v>
      </c>
      <c r="F442" s="1">
        <v>45677</v>
      </c>
      <c r="G442" s="1">
        <v>45679</v>
      </c>
      <c r="H442" t="s">
        <v>8</v>
      </c>
      <c r="I442" t="s">
        <v>3</v>
      </c>
      <c r="J442">
        <v>3</v>
      </c>
      <c r="K442" t="s">
        <v>4</v>
      </c>
      <c r="L442" t="s">
        <v>88</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514</v>
      </c>
      <c r="B443" t="s">
        <v>11</v>
      </c>
      <c r="C443">
        <v>10</v>
      </c>
      <c r="D443">
        <v>99.8</v>
      </c>
      <c r="E443">
        <v>998</v>
      </c>
      <c r="F443" s="1">
        <v>45677</v>
      </c>
      <c r="G443" s="1">
        <v>45680</v>
      </c>
      <c r="H443" t="s">
        <v>12</v>
      </c>
      <c r="I443" t="s">
        <v>25</v>
      </c>
      <c r="J443">
        <v>3</v>
      </c>
      <c r="K443" t="s">
        <v>4</v>
      </c>
      <c r="L443" t="s">
        <v>88</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515</v>
      </c>
      <c r="B444" t="s">
        <v>29</v>
      </c>
      <c r="C444">
        <v>15</v>
      </c>
      <c r="D444">
        <v>19.2</v>
      </c>
      <c r="E444">
        <v>288</v>
      </c>
      <c r="F444" s="1">
        <v>45677</v>
      </c>
      <c r="G444" s="1">
        <v>45679</v>
      </c>
      <c r="H444" t="s">
        <v>74</v>
      </c>
      <c r="I444" t="s">
        <v>55</v>
      </c>
      <c r="J444">
        <v>3</v>
      </c>
      <c r="K444" t="s">
        <v>4</v>
      </c>
      <c r="L444" t="s">
        <v>186</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516</v>
      </c>
      <c r="B445" t="s">
        <v>120</v>
      </c>
      <c r="C445">
        <v>3</v>
      </c>
      <c r="D445">
        <v>22.6</v>
      </c>
      <c r="E445">
        <v>67.800000000000011</v>
      </c>
      <c r="F445" s="1">
        <v>45677</v>
      </c>
      <c r="G445" s="1">
        <v>45678</v>
      </c>
      <c r="H445" t="s">
        <v>8</v>
      </c>
      <c r="I445" t="s">
        <v>20</v>
      </c>
      <c r="J445">
        <v>4</v>
      </c>
      <c r="K445" t="s">
        <v>4</v>
      </c>
      <c r="L445" t="s">
        <v>62</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517</v>
      </c>
      <c r="B446" t="s">
        <v>7</v>
      </c>
      <c r="C446">
        <v>15</v>
      </c>
      <c r="D446">
        <v>126.9</v>
      </c>
      <c r="E446">
        <v>1903.5</v>
      </c>
      <c r="F446" s="1">
        <v>45677</v>
      </c>
      <c r="G446" s="1">
        <v>45679</v>
      </c>
      <c r="H446" t="s">
        <v>12</v>
      </c>
      <c r="I446" t="s">
        <v>3</v>
      </c>
      <c r="J446">
        <v>5</v>
      </c>
      <c r="K446" t="s">
        <v>4</v>
      </c>
      <c r="L446" t="s">
        <v>62</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518</v>
      </c>
      <c r="B447" t="s">
        <v>11</v>
      </c>
      <c r="C447">
        <v>2</v>
      </c>
      <c r="D447">
        <v>100.3</v>
      </c>
      <c r="E447">
        <v>200.6</v>
      </c>
      <c r="F447" s="1">
        <v>45677</v>
      </c>
      <c r="G447" s="1">
        <v>45678</v>
      </c>
      <c r="H447" t="s">
        <v>12</v>
      </c>
      <c r="I447" t="s">
        <v>3</v>
      </c>
      <c r="J447">
        <v>3</v>
      </c>
      <c r="K447" t="s">
        <v>4</v>
      </c>
      <c r="L447" t="s">
        <v>62</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519</v>
      </c>
      <c r="B448" t="s">
        <v>17</v>
      </c>
      <c r="C448">
        <v>18</v>
      </c>
      <c r="D448">
        <v>24.6</v>
      </c>
      <c r="E448">
        <v>442.8</v>
      </c>
      <c r="F448" s="1">
        <v>45677</v>
      </c>
      <c r="G448" s="1">
        <v>45678</v>
      </c>
      <c r="H448" t="s">
        <v>12</v>
      </c>
      <c r="I448" t="s">
        <v>55</v>
      </c>
      <c r="J448">
        <v>4</v>
      </c>
      <c r="K448" t="s">
        <v>4</v>
      </c>
      <c r="L448" t="s">
        <v>67</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520</v>
      </c>
      <c r="B449" t="s">
        <v>24</v>
      </c>
      <c r="C449">
        <v>2</v>
      </c>
      <c r="D449">
        <v>47.3</v>
      </c>
      <c r="E449">
        <v>94.6</v>
      </c>
      <c r="F449" s="1">
        <v>45677</v>
      </c>
      <c r="G449" s="1">
        <v>45678</v>
      </c>
      <c r="H449" t="s">
        <v>8</v>
      </c>
      <c r="I449" t="s">
        <v>20</v>
      </c>
      <c r="J449">
        <v>5</v>
      </c>
      <c r="K449" t="s">
        <v>4</v>
      </c>
      <c r="L449" t="s">
        <v>67</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521</v>
      </c>
      <c r="B450" t="s">
        <v>24</v>
      </c>
      <c r="C450">
        <v>7</v>
      </c>
      <c r="D450">
        <v>40.799999999999997</v>
      </c>
      <c r="E450">
        <v>285.59999999999997</v>
      </c>
      <c r="F450" s="1">
        <v>45677</v>
      </c>
      <c r="G450" s="1">
        <v>45680</v>
      </c>
      <c r="H450" t="s">
        <v>12</v>
      </c>
      <c r="I450" t="s">
        <v>25</v>
      </c>
      <c r="J450">
        <v>5</v>
      </c>
      <c r="K450" t="s">
        <v>4</v>
      </c>
      <c r="L450" t="s">
        <v>100</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522</v>
      </c>
      <c r="B451" t="s">
        <v>29</v>
      </c>
      <c r="C451">
        <v>8</v>
      </c>
      <c r="D451">
        <v>49.2</v>
      </c>
      <c r="E451">
        <v>393.6</v>
      </c>
      <c r="F451" s="1">
        <v>45677</v>
      </c>
      <c r="G451" s="1">
        <v>45679</v>
      </c>
      <c r="H451" t="s">
        <v>12</v>
      </c>
      <c r="I451" t="s">
        <v>3</v>
      </c>
      <c r="J451">
        <v>4</v>
      </c>
      <c r="K451" t="s">
        <v>4</v>
      </c>
      <c r="L451" t="s">
        <v>9</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523</v>
      </c>
      <c r="B452" t="s">
        <v>29</v>
      </c>
      <c r="C452">
        <v>1</v>
      </c>
      <c r="D452">
        <v>28.5</v>
      </c>
      <c r="E452">
        <v>28.5</v>
      </c>
      <c r="F452" s="1">
        <v>45677</v>
      </c>
      <c r="G452" s="1">
        <v>45679</v>
      </c>
      <c r="H452" t="s">
        <v>2</v>
      </c>
      <c r="I452" t="s">
        <v>25</v>
      </c>
      <c r="J452">
        <v>3</v>
      </c>
      <c r="K452" t="s">
        <v>4</v>
      </c>
      <c r="L452" t="s">
        <v>18</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524</v>
      </c>
      <c r="B453" t="s">
        <v>131</v>
      </c>
      <c r="C453">
        <v>2</v>
      </c>
      <c r="D453">
        <v>36.799999999999997</v>
      </c>
      <c r="E453">
        <v>73.599999999999994</v>
      </c>
      <c r="F453" s="1">
        <v>45677</v>
      </c>
      <c r="G453" s="1">
        <v>45683</v>
      </c>
      <c r="H453" t="s">
        <v>12</v>
      </c>
      <c r="I453" t="s">
        <v>3</v>
      </c>
      <c r="J453">
        <v>5</v>
      </c>
      <c r="K453" t="s">
        <v>4</v>
      </c>
      <c r="L453" t="s">
        <v>18</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525</v>
      </c>
      <c r="B454" t="s">
        <v>27</v>
      </c>
      <c r="C454">
        <v>3</v>
      </c>
      <c r="D454">
        <v>33.5</v>
      </c>
      <c r="E454">
        <v>100.5</v>
      </c>
      <c r="F454" s="1">
        <v>45677</v>
      </c>
      <c r="G454" s="1">
        <v>45678</v>
      </c>
      <c r="H454" t="s">
        <v>12</v>
      </c>
      <c r="I454" t="s">
        <v>3</v>
      </c>
      <c r="J454">
        <v>3</v>
      </c>
      <c r="K454" t="s">
        <v>4</v>
      </c>
      <c r="L454" t="s">
        <v>18</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526</v>
      </c>
      <c r="B455" t="s">
        <v>24</v>
      </c>
      <c r="C455">
        <v>6</v>
      </c>
      <c r="D455">
        <v>62.5</v>
      </c>
      <c r="E455">
        <v>375</v>
      </c>
      <c r="F455" s="1">
        <v>45677</v>
      </c>
      <c r="G455" s="1">
        <v>45679</v>
      </c>
      <c r="H455" t="s">
        <v>12</v>
      </c>
      <c r="I455" t="s">
        <v>3</v>
      </c>
      <c r="J455">
        <v>4</v>
      </c>
      <c r="K455" t="s">
        <v>4</v>
      </c>
      <c r="L455" t="s">
        <v>18</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527</v>
      </c>
      <c r="B456" t="s">
        <v>29</v>
      </c>
      <c r="C456">
        <v>40</v>
      </c>
      <c r="D456">
        <v>47.9</v>
      </c>
      <c r="E456">
        <v>1916</v>
      </c>
      <c r="F456" s="1">
        <v>45677</v>
      </c>
      <c r="G456" s="1">
        <v>45678</v>
      </c>
      <c r="H456" t="s">
        <v>12</v>
      </c>
      <c r="I456" t="s">
        <v>36</v>
      </c>
      <c r="J456">
        <v>4</v>
      </c>
      <c r="K456" t="s">
        <v>4</v>
      </c>
      <c r="L456" t="s">
        <v>18</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528</v>
      </c>
      <c r="B457" t="s">
        <v>24</v>
      </c>
      <c r="C457">
        <v>6</v>
      </c>
      <c r="D457">
        <v>92.9</v>
      </c>
      <c r="E457">
        <v>557.40000000000009</v>
      </c>
      <c r="F457" s="1">
        <v>45677</v>
      </c>
      <c r="G457" s="1">
        <v>45688</v>
      </c>
      <c r="H457" t="s">
        <v>12</v>
      </c>
      <c r="I457" t="s">
        <v>3</v>
      </c>
      <c r="J457">
        <v>2</v>
      </c>
      <c r="K457" t="s">
        <v>4</v>
      </c>
      <c r="L457" t="s">
        <v>18</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529</v>
      </c>
      <c r="B458" t="s">
        <v>54</v>
      </c>
      <c r="C458">
        <v>3</v>
      </c>
      <c r="D458">
        <v>44.1</v>
      </c>
      <c r="E458">
        <v>132.30000000000001</v>
      </c>
      <c r="F458" s="1">
        <v>45677</v>
      </c>
      <c r="G458" s="1">
        <v>45677</v>
      </c>
      <c r="H458" t="s">
        <v>12</v>
      </c>
      <c r="I458" t="s">
        <v>20</v>
      </c>
      <c r="J458">
        <v>3</v>
      </c>
      <c r="K458" t="s">
        <v>4</v>
      </c>
      <c r="L458" t="s">
        <v>530</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531</v>
      </c>
      <c r="B459" t="s">
        <v>1</v>
      </c>
      <c r="C459">
        <v>1</v>
      </c>
      <c r="D459">
        <v>11.4</v>
      </c>
      <c r="E459">
        <v>11.4</v>
      </c>
      <c r="F459" s="1">
        <v>45678</v>
      </c>
      <c r="G459" s="1">
        <v>45680</v>
      </c>
      <c r="H459" t="s">
        <v>12</v>
      </c>
      <c r="I459" t="s">
        <v>25</v>
      </c>
      <c r="J459">
        <v>4</v>
      </c>
      <c r="K459" t="s">
        <v>4</v>
      </c>
      <c r="L459" t="s">
        <v>37</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532</v>
      </c>
      <c r="B460" t="s">
        <v>24</v>
      </c>
      <c r="C460">
        <v>1</v>
      </c>
      <c r="D460">
        <v>83.7</v>
      </c>
      <c r="E460">
        <v>83.7</v>
      </c>
      <c r="F460" s="1">
        <v>45678</v>
      </c>
      <c r="G460" s="1">
        <v>45680</v>
      </c>
      <c r="H460" t="s">
        <v>12</v>
      </c>
      <c r="I460" t="s">
        <v>3</v>
      </c>
      <c r="J460">
        <v>5</v>
      </c>
      <c r="K460" t="s">
        <v>4</v>
      </c>
      <c r="L460" t="s">
        <v>40</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533</v>
      </c>
      <c r="B461" t="s">
        <v>39</v>
      </c>
      <c r="C461">
        <v>2</v>
      </c>
      <c r="D461">
        <v>23.2</v>
      </c>
      <c r="E461">
        <v>46.4</v>
      </c>
      <c r="F461" s="1">
        <v>45678</v>
      </c>
      <c r="G461" s="1">
        <v>45679</v>
      </c>
      <c r="H461" t="s">
        <v>8</v>
      </c>
      <c r="I461" t="s">
        <v>25</v>
      </c>
      <c r="J461">
        <v>4</v>
      </c>
      <c r="K461" t="s">
        <v>4</v>
      </c>
      <c r="L461" t="s">
        <v>47</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534</v>
      </c>
      <c r="B462" t="s">
        <v>11</v>
      </c>
      <c r="C462">
        <v>1</v>
      </c>
      <c r="D462">
        <v>162.1</v>
      </c>
      <c r="E462">
        <v>162.1</v>
      </c>
      <c r="F462" s="1">
        <v>45678</v>
      </c>
      <c r="G462" s="1">
        <v>45681</v>
      </c>
      <c r="H462" t="s">
        <v>12</v>
      </c>
      <c r="I462" t="s">
        <v>3</v>
      </c>
      <c r="J462">
        <v>5</v>
      </c>
      <c r="K462" t="s">
        <v>4</v>
      </c>
      <c r="L462" t="s">
        <v>57</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535</v>
      </c>
      <c r="B463" t="s">
        <v>24</v>
      </c>
      <c r="C463">
        <v>4</v>
      </c>
      <c r="D463">
        <v>49.2</v>
      </c>
      <c r="E463">
        <v>196.8</v>
      </c>
      <c r="F463" s="1">
        <v>45678</v>
      </c>
      <c r="G463" s="1">
        <v>45682</v>
      </c>
      <c r="H463" t="s">
        <v>8</v>
      </c>
      <c r="I463" t="s">
        <v>20</v>
      </c>
      <c r="J463">
        <v>4</v>
      </c>
      <c r="K463" t="s">
        <v>4</v>
      </c>
      <c r="L463" t="s">
        <v>57</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536</v>
      </c>
      <c r="B464" t="s">
        <v>7</v>
      </c>
      <c r="C464">
        <v>2</v>
      </c>
      <c r="D464">
        <v>61</v>
      </c>
      <c r="E464">
        <v>122</v>
      </c>
      <c r="F464" s="1">
        <v>45678</v>
      </c>
      <c r="G464" s="1">
        <v>45679</v>
      </c>
      <c r="H464" t="s">
        <v>8</v>
      </c>
      <c r="I464" t="s">
        <v>36</v>
      </c>
      <c r="J464">
        <v>4</v>
      </c>
      <c r="K464" t="s">
        <v>4</v>
      </c>
      <c r="L464" t="s">
        <v>59</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537</v>
      </c>
      <c r="B465" t="s">
        <v>11</v>
      </c>
      <c r="C465">
        <v>10</v>
      </c>
      <c r="D465">
        <v>53.1</v>
      </c>
      <c r="E465">
        <v>531</v>
      </c>
      <c r="F465" s="1">
        <v>45678</v>
      </c>
      <c r="G465" s="1">
        <v>45680</v>
      </c>
      <c r="H465" t="s">
        <v>8</v>
      </c>
      <c r="I465" t="s">
        <v>3</v>
      </c>
      <c r="J465">
        <v>4</v>
      </c>
      <c r="K465" t="s">
        <v>4</v>
      </c>
      <c r="L465" t="s">
        <v>62</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538</v>
      </c>
      <c r="B466" t="s">
        <v>17</v>
      </c>
      <c r="C466">
        <v>2</v>
      </c>
      <c r="D466">
        <v>22.4</v>
      </c>
      <c r="E466">
        <v>44.8</v>
      </c>
      <c r="F466" s="1">
        <v>45678</v>
      </c>
      <c r="G466" s="1">
        <v>45680</v>
      </c>
      <c r="H466" t="s">
        <v>2</v>
      </c>
      <c r="I466" t="s">
        <v>20</v>
      </c>
      <c r="J466">
        <v>5</v>
      </c>
      <c r="K466" t="s">
        <v>4</v>
      </c>
      <c r="L466" t="s">
        <v>67</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539</v>
      </c>
      <c r="B467" t="s">
        <v>7</v>
      </c>
      <c r="C467">
        <v>5</v>
      </c>
      <c r="D467">
        <v>75.3</v>
      </c>
      <c r="E467">
        <v>376.5</v>
      </c>
      <c r="F467" s="1">
        <v>45678</v>
      </c>
      <c r="G467" s="1">
        <v>45679</v>
      </c>
      <c r="H467" t="s">
        <v>8</v>
      </c>
      <c r="I467" t="s">
        <v>3</v>
      </c>
      <c r="J467">
        <v>4</v>
      </c>
      <c r="K467" t="s">
        <v>4</v>
      </c>
      <c r="L467" t="s">
        <v>100</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540</v>
      </c>
      <c r="B468" t="s">
        <v>24</v>
      </c>
      <c r="C468">
        <v>1</v>
      </c>
      <c r="D468">
        <v>48.5</v>
      </c>
      <c r="E468">
        <v>48.5</v>
      </c>
      <c r="F468" s="1">
        <v>45678</v>
      </c>
      <c r="G468" s="1">
        <v>45679</v>
      </c>
      <c r="H468" t="s">
        <v>12</v>
      </c>
      <c r="I468" t="s">
        <v>3</v>
      </c>
      <c r="J468">
        <v>3</v>
      </c>
      <c r="K468" t="s">
        <v>4</v>
      </c>
      <c r="L468" t="s">
        <v>100</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541</v>
      </c>
      <c r="B469" t="s">
        <v>24</v>
      </c>
      <c r="C469">
        <v>1</v>
      </c>
      <c r="D469">
        <v>42.6</v>
      </c>
      <c r="E469">
        <v>42.6</v>
      </c>
      <c r="F469" s="1">
        <v>45678</v>
      </c>
      <c r="G469" s="1">
        <v>45682</v>
      </c>
      <c r="H469" t="s">
        <v>12</v>
      </c>
      <c r="I469" t="s">
        <v>36</v>
      </c>
      <c r="J469">
        <v>4</v>
      </c>
      <c r="K469" t="s">
        <v>4</v>
      </c>
      <c r="L469" t="s">
        <v>9</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542</v>
      </c>
      <c r="B470" t="s">
        <v>22</v>
      </c>
      <c r="C470">
        <v>5</v>
      </c>
      <c r="D470">
        <v>49</v>
      </c>
      <c r="E470">
        <v>245</v>
      </c>
      <c r="F470" s="1">
        <v>45678</v>
      </c>
      <c r="G470" s="1">
        <v>45679</v>
      </c>
      <c r="H470" t="s">
        <v>8</v>
      </c>
      <c r="I470" t="s">
        <v>3</v>
      </c>
      <c r="J470">
        <v>4</v>
      </c>
      <c r="K470" t="s">
        <v>4</v>
      </c>
      <c r="L470" t="s">
        <v>132</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543</v>
      </c>
      <c r="B471" t="s">
        <v>29</v>
      </c>
      <c r="C471">
        <v>3</v>
      </c>
      <c r="D471">
        <v>31.3</v>
      </c>
      <c r="E471">
        <v>93.9</v>
      </c>
      <c r="F471" s="1">
        <v>45678</v>
      </c>
      <c r="G471" s="1">
        <v>45679</v>
      </c>
      <c r="H471" t="s">
        <v>8</v>
      </c>
      <c r="I471" t="s">
        <v>25</v>
      </c>
      <c r="J471">
        <v>3</v>
      </c>
      <c r="K471" t="s">
        <v>4</v>
      </c>
      <c r="L471" t="s">
        <v>18</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544</v>
      </c>
      <c r="B472" t="s">
        <v>11</v>
      </c>
      <c r="C472">
        <v>2</v>
      </c>
      <c r="D472">
        <v>85.4</v>
      </c>
      <c r="E472">
        <v>170.8</v>
      </c>
      <c r="F472" s="1">
        <v>45678</v>
      </c>
      <c r="G472" s="1">
        <v>45679</v>
      </c>
      <c r="H472" t="s">
        <v>12</v>
      </c>
      <c r="I472" t="s">
        <v>25</v>
      </c>
      <c r="J472">
        <v>4</v>
      </c>
      <c r="K472" t="s">
        <v>4</v>
      </c>
      <c r="L472" t="s">
        <v>18</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545</v>
      </c>
      <c r="B473" t="s">
        <v>29</v>
      </c>
      <c r="C473">
        <v>4</v>
      </c>
      <c r="D473">
        <v>40</v>
      </c>
      <c r="E473">
        <v>160</v>
      </c>
      <c r="F473" s="1">
        <v>45678</v>
      </c>
      <c r="G473" s="1">
        <v>45679</v>
      </c>
      <c r="H473" t="s">
        <v>74</v>
      </c>
      <c r="I473" t="s">
        <v>3</v>
      </c>
      <c r="J473">
        <v>5</v>
      </c>
      <c r="K473" t="s">
        <v>4</v>
      </c>
      <c r="L473" t="s">
        <v>18</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546</v>
      </c>
      <c r="B474" t="s">
        <v>22</v>
      </c>
      <c r="C474">
        <v>2</v>
      </c>
      <c r="D474">
        <v>38.5</v>
      </c>
      <c r="E474">
        <v>77</v>
      </c>
      <c r="F474" s="1">
        <v>45678</v>
      </c>
      <c r="G474" s="1">
        <v>45681</v>
      </c>
      <c r="H474" t="s">
        <v>8</v>
      </c>
      <c r="I474" t="s">
        <v>20</v>
      </c>
      <c r="J474">
        <v>5</v>
      </c>
      <c r="K474" t="s">
        <v>4</v>
      </c>
      <c r="L474" t="s">
        <v>18</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547</v>
      </c>
      <c r="B475" t="s">
        <v>11</v>
      </c>
      <c r="C475">
        <v>2</v>
      </c>
      <c r="D475">
        <v>57.8</v>
      </c>
      <c r="E475">
        <v>115.6</v>
      </c>
      <c r="F475" s="1">
        <v>45678</v>
      </c>
      <c r="G475" s="1">
        <v>45679</v>
      </c>
      <c r="H475" t="s">
        <v>2</v>
      </c>
      <c r="I475" t="s">
        <v>3</v>
      </c>
      <c r="J475">
        <v>4</v>
      </c>
      <c r="K475" t="s">
        <v>4</v>
      </c>
      <c r="L475" t="s">
        <v>18</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548</v>
      </c>
      <c r="B476" t="s">
        <v>29</v>
      </c>
      <c r="C476">
        <v>1</v>
      </c>
      <c r="D476">
        <v>19.2</v>
      </c>
      <c r="E476">
        <v>19.2</v>
      </c>
      <c r="F476" s="1">
        <v>45678</v>
      </c>
      <c r="G476" s="1">
        <v>45679</v>
      </c>
      <c r="H476" t="s">
        <v>12</v>
      </c>
      <c r="I476" t="s">
        <v>3</v>
      </c>
      <c r="J476">
        <v>2</v>
      </c>
      <c r="K476" t="s">
        <v>4</v>
      </c>
      <c r="L476" t="s">
        <v>18</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549</v>
      </c>
      <c r="B477" t="s">
        <v>24</v>
      </c>
      <c r="C477">
        <v>6</v>
      </c>
      <c r="D477">
        <v>114.8</v>
      </c>
      <c r="E477">
        <v>688.8</v>
      </c>
      <c r="F477" s="1">
        <v>45678</v>
      </c>
      <c r="G477" s="1">
        <v>45681</v>
      </c>
      <c r="H477" t="s">
        <v>8</v>
      </c>
      <c r="I477" t="s">
        <v>20</v>
      </c>
      <c r="J477">
        <v>3</v>
      </c>
      <c r="K477" t="s">
        <v>4</v>
      </c>
      <c r="L477" t="s">
        <v>18</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550</v>
      </c>
      <c r="B478" t="s">
        <v>39</v>
      </c>
      <c r="C478">
        <v>7</v>
      </c>
      <c r="D478">
        <v>48.4</v>
      </c>
      <c r="E478">
        <v>338.8</v>
      </c>
      <c r="F478" s="1">
        <v>45678</v>
      </c>
      <c r="G478" s="1">
        <v>45681</v>
      </c>
      <c r="H478" t="s">
        <v>12</v>
      </c>
      <c r="I478" t="s">
        <v>36</v>
      </c>
      <c r="J478">
        <v>3</v>
      </c>
      <c r="K478" t="s">
        <v>4</v>
      </c>
      <c r="L478" t="s">
        <v>18</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551</v>
      </c>
      <c r="B479" t="s">
        <v>31</v>
      </c>
      <c r="C479">
        <v>5</v>
      </c>
      <c r="D479">
        <v>73.2</v>
      </c>
      <c r="E479">
        <v>366</v>
      </c>
      <c r="F479" s="1">
        <v>45678</v>
      </c>
      <c r="G479" s="1">
        <v>45679</v>
      </c>
      <c r="H479" t="s">
        <v>12</v>
      </c>
      <c r="I479" t="s">
        <v>20</v>
      </c>
      <c r="J479">
        <v>2</v>
      </c>
      <c r="K479" t="s">
        <v>4</v>
      </c>
      <c r="L479" t="s">
        <v>18</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552</v>
      </c>
      <c r="B480" t="s">
        <v>108</v>
      </c>
      <c r="C480">
        <v>2</v>
      </c>
      <c r="D480">
        <v>48.6</v>
      </c>
      <c r="E480">
        <v>97.2</v>
      </c>
      <c r="F480" s="1">
        <v>45678</v>
      </c>
      <c r="G480" s="1">
        <v>45682</v>
      </c>
      <c r="H480" t="s">
        <v>12</v>
      </c>
      <c r="I480" t="s">
        <v>36</v>
      </c>
      <c r="J480">
        <v>4</v>
      </c>
      <c r="K480" t="s">
        <v>4</v>
      </c>
      <c r="L480" t="s">
        <v>18</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553</v>
      </c>
      <c r="B481" t="s">
        <v>1</v>
      </c>
      <c r="C481">
        <v>6</v>
      </c>
      <c r="D481">
        <v>48.7</v>
      </c>
      <c r="E481">
        <v>292.20000000000005</v>
      </c>
      <c r="F481" s="1">
        <v>45678</v>
      </c>
      <c r="G481" s="1">
        <v>45679</v>
      </c>
      <c r="H481" t="s">
        <v>8</v>
      </c>
      <c r="I481" t="s">
        <v>3</v>
      </c>
      <c r="J481">
        <v>4</v>
      </c>
      <c r="K481" t="s">
        <v>4</v>
      </c>
      <c r="L481" t="s">
        <v>18</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554</v>
      </c>
      <c r="B482" t="s">
        <v>17</v>
      </c>
      <c r="C482">
        <v>2</v>
      </c>
      <c r="D482">
        <v>32.200000000000003</v>
      </c>
      <c r="E482">
        <v>64.400000000000006</v>
      </c>
      <c r="F482" s="1">
        <v>45678</v>
      </c>
      <c r="G482" s="1">
        <v>45681</v>
      </c>
      <c r="H482" t="s">
        <v>8</v>
      </c>
      <c r="I482" t="s">
        <v>25</v>
      </c>
      <c r="J482">
        <v>5</v>
      </c>
      <c r="K482" t="s">
        <v>4</v>
      </c>
      <c r="L482" t="s">
        <v>18</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555</v>
      </c>
      <c r="B483" t="s">
        <v>108</v>
      </c>
      <c r="C483">
        <v>8</v>
      </c>
      <c r="D483">
        <v>25.8</v>
      </c>
      <c r="E483">
        <v>206.4</v>
      </c>
      <c r="F483" s="1">
        <v>45678</v>
      </c>
      <c r="G483" s="1">
        <v>45679</v>
      </c>
      <c r="H483" t="s">
        <v>8</v>
      </c>
      <c r="I483" t="s">
        <v>3</v>
      </c>
      <c r="J483">
        <v>4</v>
      </c>
      <c r="K483" t="s">
        <v>4</v>
      </c>
      <c r="L483" t="s">
        <v>349</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556</v>
      </c>
      <c r="B484" t="s">
        <v>24</v>
      </c>
      <c r="C484">
        <v>2</v>
      </c>
      <c r="D484">
        <v>94.8</v>
      </c>
      <c r="E484">
        <v>189.6</v>
      </c>
      <c r="F484" s="1">
        <v>45679</v>
      </c>
      <c r="G484" s="1">
        <v>45682</v>
      </c>
      <c r="H484" t="s">
        <v>12</v>
      </c>
      <c r="I484" t="s">
        <v>20</v>
      </c>
      <c r="J484">
        <v>3</v>
      </c>
      <c r="K484" t="s">
        <v>4</v>
      </c>
      <c r="L484" t="s">
        <v>173</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557</v>
      </c>
      <c r="B485" t="s">
        <v>108</v>
      </c>
      <c r="C485">
        <v>25</v>
      </c>
      <c r="D485">
        <v>56.8</v>
      </c>
      <c r="E485">
        <v>1420</v>
      </c>
      <c r="F485" s="1">
        <v>45679</v>
      </c>
      <c r="G485" s="1">
        <v>45682</v>
      </c>
      <c r="H485" t="s">
        <v>8</v>
      </c>
      <c r="I485" t="s">
        <v>3</v>
      </c>
      <c r="J485">
        <v>4</v>
      </c>
      <c r="K485" t="s">
        <v>4</v>
      </c>
      <c r="L485" t="s">
        <v>173</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558</v>
      </c>
      <c r="B486" t="s">
        <v>29</v>
      </c>
      <c r="C486">
        <v>16</v>
      </c>
      <c r="D486">
        <v>18.3</v>
      </c>
      <c r="E486">
        <v>292.8</v>
      </c>
      <c r="F486" s="1">
        <v>45679</v>
      </c>
      <c r="G486" s="1">
        <v>45686</v>
      </c>
      <c r="H486" t="s">
        <v>12</v>
      </c>
      <c r="I486" t="s">
        <v>25</v>
      </c>
      <c r="J486">
        <v>5</v>
      </c>
      <c r="K486" t="s">
        <v>4</v>
      </c>
      <c r="L486" t="s">
        <v>143</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559</v>
      </c>
      <c r="B487" t="s">
        <v>1</v>
      </c>
      <c r="C487">
        <v>3</v>
      </c>
      <c r="D487">
        <v>16.8</v>
      </c>
      <c r="E487">
        <v>50.400000000000006</v>
      </c>
      <c r="F487" s="1">
        <v>45679</v>
      </c>
      <c r="G487" s="1">
        <v>45684</v>
      </c>
      <c r="H487" t="s">
        <v>12</v>
      </c>
      <c r="I487" t="s">
        <v>25</v>
      </c>
      <c r="J487">
        <v>5</v>
      </c>
      <c r="K487" t="s">
        <v>4</v>
      </c>
      <c r="L487" t="s">
        <v>47</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560</v>
      </c>
      <c r="B488" t="s">
        <v>22</v>
      </c>
      <c r="C488">
        <v>11</v>
      </c>
      <c r="D488">
        <v>35.799999999999997</v>
      </c>
      <c r="E488">
        <v>393.79999999999995</v>
      </c>
      <c r="F488" s="1">
        <v>45679</v>
      </c>
      <c r="G488" s="1">
        <v>45680</v>
      </c>
      <c r="H488" t="s">
        <v>8</v>
      </c>
      <c r="I488" t="s">
        <v>20</v>
      </c>
      <c r="J488">
        <v>4</v>
      </c>
      <c r="K488" t="s">
        <v>4</v>
      </c>
      <c r="L488" t="s">
        <v>88</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561</v>
      </c>
      <c r="B489" t="s">
        <v>131</v>
      </c>
      <c r="C489">
        <v>1</v>
      </c>
      <c r="D489">
        <v>64.900000000000006</v>
      </c>
      <c r="E489">
        <v>64.900000000000006</v>
      </c>
      <c r="F489" s="1">
        <v>45679</v>
      </c>
      <c r="G489" s="1">
        <v>45680</v>
      </c>
      <c r="H489" t="s">
        <v>8</v>
      </c>
      <c r="I489" t="s">
        <v>3</v>
      </c>
      <c r="J489">
        <v>3</v>
      </c>
      <c r="K489" t="s">
        <v>4</v>
      </c>
      <c r="L489" t="s">
        <v>88</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562</v>
      </c>
      <c r="B490" t="s">
        <v>131</v>
      </c>
      <c r="C490">
        <v>1</v>
      </c>
      <c r="D490">
        <v>28.5</v>
      </c>
      <c r="E490">
        <v>28.5</v>
      </c>
      <c r="F490" s="1">
        <v>45679</v>
      </c>
      <c r="G490" s="1">
        <v>45681</v>
      </c>
      <c r="H490" t="s">
        <v>2</v>
      </c>
      <c r="I490" t="s">
        <v>20</v>
      </c>
      <c r="J490">
        <v>4</v>
      </c>
      <c r="K490" t="s">
        <v>4</v>
      </c>
      <c r="L490" t="s">
        <v>57</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563</v>
      </c>
      <c r="B491" t="s">
        <v>131</v>
      </c>
      <c r="C491">
        <v>2</v>
      </c>
      <c r="D491">
        <v>103.5</v>
      </c>
      <c r="E491">
        <v>207</v>
      </c>
      <c r="F491" s="1">
        <v>45679</v>
      </c>
      <c r="G491" s="1">
        <v>45681</v>
      </c>
      <c r="H491" t="s">
        <v>12</v>
      </c>
      <c r="I491" t="s">
        <v>20</v>
      </c>
      <c r="J491">
        <v>4</v>
      </c>
      <c r="K491" t="s">
        <v>4</v>
      </c>
      <c r="L491" t="s">
        <v>59</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564</v>
      </c>
      <c r="B492" t="s">
        <v>17</v>
      </c>
      <c r="C492">
        <v>2</v>
      </c>
      <c r="D492">
        <v>41.2</v>
      </c>
      <c r="E492">
        <v>82.4</v>
      </c>
      <c r="F492" s="1">
        <v>45679</v>
      </c>
      <c r="G492" s="1">
        <v>45680</v>
      </c>
      <c r="H492" t="s">
        <v>12</v>
      </c>
      <c r="I492" t="s">
        <v>20</v>
      </c>
      <c r="J492">
        <v>4</v>
      </c>
      <c r="K492" t="s">
        <v>4</v>
      </c>
      <c r="L492" t="s">
        <v>59</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565</v>
      </c>
      <c r="B493" t="s">
        <v>31</v>
      </c>
      <c r="C493">
        <v>1</v>
      </c>
      <c r="D493">
        <v>37.799999999999997</v>
      </c>
      <c r="E493">
        <v>37.799999999999997</v>
      </c>
      <c r="F493" s="1">
        <v>45679</v>
      </c>
      <c r="G493" s="1">
        <v>45681</v>
      </c>
      <c r="H493" t="s">
        <v>12</v>
      </c>
      <c r="I493" t="s">
        <v>36</v>
      </c>
      <c r="J493">
        <v>1</v>
      </c>
      <c r="K493" t="s">
        <v>4</v>
      </c>
      <c r="L493" t="s">
        <v>62</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566</v>
      </c>
      <c r="B494" t="s">
        <v>29</v>
      </c>
      <c r="C494">
        <v>2</v>
      </c>
      <c r="D494">
        <v>42.6</v>
      </c>
      <c r="E494">
        <v>85.2</v>
      </c>
      <c r="F494" s="1">
        <v>45679</v>
      </c>
      <c r="G494" s="1">
        <v>45681</v>
      </c>
      <c r="H494" t="s">
        <v>12</v>
      </c>
      <c r="I494" t="s">
        <v>55</v>
      </c>
      <c r="J494">
        <v>4</v>
      </c>
      <c r="K494" t="s">
        <v>4</v>
      </c>
      <c r="L494" t="s">
        <v>62</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567</v>
      </c>
      <c r="B495" t="s">
        <v>29</v>
      </c>
      <c r="C495">
        <v>10</v>
      </c>
      <c r="D495">
        <v>15.2</v>
      </c>
      <c r="E495">
        <v>152</v>
      </c>
      <c r="F495" s="1">
        <v>45679</v>
      </c>
      <c r="G495" s="1">
        <v>45681</v>
      </c>
      <c r="H495" t="s">
        <v>12</v>
      </c>
      <c r="I495" t="s">
        <v>25</v>
      </c>
      <c r="J495">
        <v>4</v>
      </c>
      <c r="K495" t="s">
        <v>4</v>
      </c>
      <c r="L495" t="s">
        <v>62</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568</v>
      </c>
      <c r="B496" t="s">
        <v>27</v>
      </c>
      <c r="C496">
        <v>4</v>
      </c>
      <c r="D496">
        <v>83.4</v>
      </c>
      <c r="E496">
        <v>333.6</v>
      </c>
      <c r="F496" s="1">
        <v>45679</v>
      </c>
      <c r="G496" s="1">
        <v>45680</v>
      </c>
      <c r="H496" t="s">
        <v>12</v>
      </c>
      <c r="I496" t="s">
        <v>25</v>
      </c>
      <c r="J496">
        <v>3</v>
      </c>
      <c r="K496" t="s">
        <v>4</v>
      </c>
      <c r="L496" t="s">
        <v>93</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569</v>
      </c>
      <c r="B497" t="s">
        <v>156</v>
      </c>
      <c r="C497">
        <v>2</v>
      </c>
      <c r="D497">
        <v>27.7</v>
      </c>
      <c r="E497">
        <v>55.4</v>
      </c>
      <c r="F497" s="1">
        <v>45679</v>
      </c>
      <c r="G497" s="1">
        <v>45680</v>
      </c>
      <c r="H497" t="s">
        <v>12</v>
      </c>
      <c r="I497" t="s">
        <v>3</v>
      </c>
      <c r="J497">
        <v>3</v>
      </c>
      <c r="K497" t="s">
        <v>4</v>
      </c>
      <c r="L497" t="s">
        <v>67</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570</v>
      </c>
      <c r="B498" t="s">
        <v>39</v>
      </c>
      <c r="C498">
        <v>12</v>
      </c>
      <c r="D498">
        <v>20.8</v>
      </c>
      <c r="E498">
        <v>249.60000000000002</v>
      </c>
      <c r="F498" s="1">
        <v>45679</v>
      </c>
      <c r="G498" s="1">
        <v>45680</v>
      </c>
      <c r="H498" t="s">
        <v>8</v>
      </c>
      <c r="I498" t="s">
        <v>36</v>
      </c>
      <c r="J498">
        <v>4</v>
      </c>
      <c r="K498" t="s">
        <v>4</v>
      </c>
      <c r="L498" t="s">
        <v>67</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571</v>
      </c>
      <c r="B499" t="s">
        <v>52</v>
      </c>
      <c r="C499">
        <v>2</v>
      </c>
      <c r="D499">
        <v>72.7</v>
      </c>
      <c r="E499">
        <v>145.4</v>
      </c>
      <c r="F499" s="1">
        <v>45679</v>
      </c>
      <c r="G499" s="1">
        <v>45683</v>
      </c>
      <c r="H499" t="s">
        <v>12</v>
      </c>
      <c r="I499" t="s">
        <v>55</v>
      </c>
      <c r="J499">
        <v>5</v>
      </c>
      <c r="K499" t="s">
        <v>4</v>
      </c>
      <c r="L499" t="s">
        <v>572</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573</v>
      </c>
      <c r="B500" t="s">
        <v>39</v>
      </c>
      <c r="C500">
        <v>4</v>
      </c>
      <c r="D500">
        <v>38.6</v>
      </c>
      <c r="E500">
        <v>154.4</v>
      </c>
      <c r="F500" s="1">
        <v>45679</v>
      </c>
      <c r="G500" s="1">
        <v>45680</v>
      </c>
      <c r="H500" t="s">
        <v>8</v>
      </c>
      <c r="I500" t="s">
        <v>3</v>
      </c>
      <c r="J500">
        <v>5</v>
      </c>
      <c r="K500" t="s">
        <v>4</v>
      </c>
      <c r="L500" t="s">
        <v>132</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574</v>
      </c>
      <c r="B501" t="s">
        <v>29</v>
      </c>
      <c r="C501">
        <v>7</v>
      </c>
      <c r="D501">
        <v>33.1</v>
      </c>
      <c r="E501">
        <v>231.70000000000002</v>
      </c>
      <c r="F501" s="1">
        <v>45679</v>
      </c>
      <c r="G501" s="1">
        <v>45680</v>
      </c>
      <c r="H501" t="s">
        <v>74</v>
      </c>
      <c r="I501" t="s">
        <v>55</v>
      </c>
      <c r="J501">
        <v>1</v>
      </c>
      <c r="K501" t="s">
        <v>4</v>
      </c>
      <c r="L501" t="s">
        <v>18</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575</v>
      </c>
      <c r="B502" t="s">
        <v>39</v>
      </c>
      <c r="C502">
        <v>2</v>
      </c>
      <c r="D502">
        <v>30.5</v>
      </c>
      <c r="E502">
        <v>61</v>
      </c>
      <c r="F502" s="1">
        <v>45679</v>
      </c>
      <c r="G502" s="1">
        <v>45679</v>
      </c>
      <c r="H502" t="s">
        <v>2</v>
      </c>
      <c r="I502" t="s">
        <v>20</v>
      </c>
      <c r="J502">
        <v>3</v>
      </c>
      <c r="K502" t="s">
        <v>4</v>
      </c>
      <c r="L502" t="s">
        <v>18</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576</v>
      </c>
      <c r="B503" t="s">
        <v>31</v>
      </c>
      <c r="C503">
        <v>2</v>
      </c>
      <c r="D503">
        <v>69.599999999999994</v>
      </c>
      <c r="E503">
        <v>139.19999999999999</v>
      </c>
      <c r="F503" s="1">
        <v>45679</v>
      </c>
      <c r="G503" s="1">
        <v>45680</v>
      </c>
      <c r="H503" t="s">
        <v>8</v>
      </c>
      <c r="I503" t="s">
        <v>3</v>
      </c>
      <c r="J503">
        <v>3</v>
      </c>
      <c r="K503" t="s">
        <v>4</v>
      </c>
      <c r="L503" t="s">
        <v>18</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577</v>
      </c>
      <c r="B504" t="s">
        <v>52</v>
      </c>
      <c r="C504">
        <v>1</v>
      </c>
      <c r="D504">
        <v>42.4</v>
      </c>
      <c r="E504">
        <v>42.4</v>
      </c>
      <c r="F504" s="1">
        <v>45679</v>
      </c>
      <c r="G504" s="1">
        <v>45683</v>
      </c>
      <c r="H504" t="s">
        <v>12</v>
      </c>
      <c r="I504" t="s">
        <v>20</v>
      </c>
      <c r="J504">
        <v>4</v>
      </c>
      <c r="K504" t="s">
        <v>4</v>
      </c>
      <c r="L504" t="s">
        <v>18</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578</v>
      </c>
      <c r="B505" t="s">
        <v>120</v>
      </c>
      <c r="C505">
        <v>1</v>
      </c>
      <c r="D505">
        <v>32.200000000000003</v>
      </c>
      <c r="E505">
        <v>32.200000000000003</v>
      </c>
      <c r="F505" s="1">
        <v>45679</v>
      </c>
      <c r="G505" s="1">
        <v>45682</v>
      </c>
      <c r="H505" t="s">
        <v>12</v>
      </c>
      <c r="I505" t="s">
        <v>25</v>
      </c>
      <c r="J505">
        <v>3</v>
      </c>
      <c r="K505" t="s">
        <v>4</v>
      </c>
      <c r="L505" t="s">
        <v>18</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579</v>
      </c>
      <c r="B506" t="s">
        <v>24</v>
      </c>
      <c r="C506">
        <v>2</v>
      </c>
      <c r="D506">
        <v>41.5</v>
      </c>
      <c r="E506">
        <v>83</v>
      </c>
      <c r="F506" s="1">
        <v>45679</v>
      </c>
      <c r="G506" s="1">
        <v>45682</v>
      </c>
      <c r="H506" t="s">
        <v>12</v>
      </c>
      <c r="I506" t="s">
        <v>3</v>
      </c>
      <c r="J506">
        <v>5</v>
      </c>
      <c r="K506" t="s">
        <v>4</v>
      </c>
      <c r="L506" t="s">
        <v>18</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580</v>
      </c>
      <c r="B507" t="s">
        <v>113</v>
      </c>
      <c r="C507">
        <v>9</v>
      </c>
      <c r="D507">
        <v>58.9</v>
      </c>
      <c r="E507">
        <v>530.1</v>
      </c>
      <c r="F507" s="1">
        <v>45679</v>
      </c>
      <c r="G507" s="1">
        <v>45683</v>
      </c>
      <c r="H507" t="s">
        <v>12</v>
      </c>
      <c r="I507" t="s">
        <v>36</v>
      </c>
      <c r="J507">
        <v>4</v>
      </c>
      <c r="K507" t="s">
        <v>4</v>
      </c>
      <c r="L507" t="s">
        <v>18</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581</v>
      </c>
      <c r="B508" t="s">
        <v>11</v>
      </c>
      <c r="C508">
        <v>1</v>
      </c>
      <c r="D508">
        <v>57.1</v>
      </c>
      <c r="E508">
        <v>57.1</v>
      </c>
      <c r="F508" s="1">
        <v>45679</v>
      </c>
      <c r="G508" s="1">
        <v>45682</v>
      </c>
      <c r="H508" t="s">
        <v>12</v>
      </c>
      <c r="I508" t="s">
        <v>20</v>
      </c>
      <c r="J508">
        <v>4</v>
      </c>
      <c r="K508" t="s">
        <v>4</v>
      </c>
      <c r="L508" t="s">
        <v>18</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582</v>
      </c>
      <c r="B509" t="s">
        <v>24</v>
      </c>
      <c r="C509">
        <v>1</v>
      </c>
      <c r="D509">
        <v>57.2</v>
      </c>
      <c r="E509">
        <v>57.2</v>
      </c>
      <c r="F509" s="1">
        <v>45679</v>
      </c>
      <c r="G509" s="1">
        <v>45681</v>
      </c>
      <c r="H509" t="s">
        <v>8</v>
      </c>
      <c r="I509" t="s">
        <v>20</v>
      </c>
      <c r="J509">
        <v>4</v>
      </c>
      <c r="K509" t="s">
        <v>4</v>
      </c>
      <c r="L509" t="s">
        <v>18</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583</v>
      </c>
      <c r="B510" t="s">
        <v>29</v>
      </c>
      <c r="C510">
        <v>2</v>
      </c>
      <c r="D510">
        <v>35.1</v>
      </c>
      <c r="E510">
        <v>70.2</v>
      </c>
      <c r="F510" s="1">
        <v>45679</v>
      </c>
      <c r="G510" s="1">
        <v>45680</v>
      </c>
      <c r="H510" t="s">
        <v>8</v>
      </c>
      <c r="I510" t="s">
        <v>20</v>
      </c>
      <c r="J510">
        <v>4</v>
      </c>
      <c r="K510" t="s">
        <v>4</v>
      </c>
      <c r="L510" t="s">
        <v>40</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584</v>
      </c>
      <c r="B511" t="s">
        <v>7</v>
      </c>
      <c r="C511">
        <v>1</v>
      </c>
      <c r="D511">
        <v>52.1</v>
      </c>
      <c r="E511">
        <v>52.1</v>
      </c>
      <c r="F511" s="1">
        <v>45679</v>
      </c>
      <c r="G511" s="1">
        <v>45681</v>
      </c>
      <c r="H511" t="s">
        <v>12</v>
      </c>
      <c r="I511" t="s">
        <v>55</v>
      </c>
      <c r="J511">
        <v>3</v>
      </c>
      <c r="K511" t="s">
        <v>4</v>
      </c>
      <c r="L511" t="s">
        <v>47</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585</v>
      </c>
      <c r="B512" t="s">
        <v>61</v>
      </c>
      <c r="C512">
        <v>3</v>
      </c>
      <c r="D512">
        <v>59.8</v>
      </c>
      <c r="E512">
        <v>179.39999999999998</v>
      </c>
      <c r="F512" s="1">
        <v>45679</v>
      </c>
      <c r="G512" s="1">
        <v>45681</v>
      </c>
      <c r="H512" t="s">
        <v>12</v>
      </c>
      <c r="I512" t="s">
        <v>55</v>
      </c>
      <c r="J512">
        <v>3</v>
      </c>
      <c r="K512" t="s">
        <v>4</v>
      </c>
      <c r="L512" t="s">
        <v>47</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586</v>
      </c>
      <c r="B513" t="s">
        <v>15</v>
      </c>
      <c r="C513">
        <v>4</v>
      </c>
      <c r="D513">
        <v>83.3</v>
      </c>
      <c r="E513">
        <v>333.2</v>
      </c>
      <c r="F513" s="1">
        <v>45679</v>
      </c>
      <c r="G513" s="1">
        <v>45679</v>
      </c>
      <c r="H513" t="s">
        <v>2</v>
      </c>
      <c r="I513" t="s">
        <v>25</v>
      </c>
      <c r="J513">
        <v>4</v>
      </c>
      <c r="K513" t="s">
        <v>4</v>
      </c>
      <c r="L513" t="s">
        <v>47</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587</v>
      </c>
      <c r="B514" t="s">
        <v>108</v>
      </c>
      <c r="C514">
        <v>12</v>
      </c>
      <c r="D514">
        <v>41.3</v>
      </c>
      <c r="E514">
        <v>495.59999999999997</v>
      </c>
      <c r="F514" s="1">
        <v>45679</v>
      </c>
      <c r="G514" s="1">
        <v>45680</v>
      </c>
      <c r="H514" t="s">
        <v>12</v>
      </c>
      <c r="I514" t="s">
        <v>20</v>
      </c>
      <c r="J514">
        <v>4</v>
      </c>
      <c r="K514" t="s">
        <v>4</v>
      </c>
      <c r="L514" t="s">
        <v>47</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588</v>
      </c>
      <c r="B515" t="s">
        <v>29</v>
      </c>
      <c r="C515">
        <v>5</v>
      </c>
      <c r="D515">
        <v>16</v>
      </c>
      <c r="E515">
        <v>80</v>
      </c>
      <c r="F515" s="1">
        <v>45679</v>
      </c>
      <c r="G515" s="1">
        <v>45681</v>
      </c>
      <c r="H515" t="s">
        <v>8</v>
      </c>
      <c r="I515" t="s">
        <v>55</v>
      </c>
      <c r="J515">
        <v>3</v>
      </c>
      <c r="K515" t="s">
        <v>4</v>
      </c>
      <c r="L515" t="s">
        <v>57</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589</v>
      </c>
      <c r="B516" t="s">
        <v>39</v>
      </c>
      <c r="C516">
        <v>2</v>
      </c>
      <c r="D516">
        <v>20.8</v>
      </c>
      <c r="E516">
        <v>41.6</v>
      </c>
      <c r="F516" s="1">
        <v>45680</v>
      </c>
      <c r="G516" s="1">
        <v>45682</v>
      </c>
      <c r="H516" t="s">
        <v>8</v>
      </c>
      <c r="I516" t="s">
        <v>3</v>
      </c>
      <c r="J516">
        <v>5</v>
      </c>
      <c r="K516" t="s">
        <v>4</v>
      </c>
      <c r="L516" t="s">
        <v>62</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590</v>
      </c>
      <c r="B517" t="s">
        <v>29</v>
      </c>
      <c r="C517">
        <v>28</v>
      </c>
      <c r="D517">
        <v>27.1</v>
      </c>
      <c r="E517">
        <v>758.80000000000007</v>
      </c>
      <c r="F517" s="1">
        <v>45680</v>
      </c>
      <c r="G517" s="1">
        <v>45681</v>
      </c>
      <c r="H517" t="s">
        <v>2</v>
      </c>
      <c r="I517" t="s">
        <v>36</v>
      </c>
      <c r="J517">
        <v>5</v>
      </c>
      <c r="K517" t="s">
        <v>4</v>
      </c>
      <c r="L517" t="s">
        <v>62</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591</v>
      </c>
      <c r="B518" t="s">
        <v>39</v>
      </c>
      <c r="C518">
        <v>2</v>
      </c>
      <c r="D518">
        <v>38.9</v>
      </c>
      <c r="E518">
        <v>77.8</v>
      </c>
      <c r="F518" s="1">
        <v>45680</v>
      </c>
      <c r="G518" s="1">
        <v>45682</v>
      </c>
      <c r="H518" t="s">
        <v>12</v>
      </c>
      <c r="I518" t="s">
        <v>3</v>
      </c>
      <c r="J518">
        <v>4</v>
      </c>
      <c r="K518" t="s">
        <v>4</v>
      </c>
      <c r="L518" t="s">
        <v>93</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592</v>
      </c>
      <c r="B519" t="s">
        <v>1</v>
      </c>
      <c r="C519">
        <v>2</v>
      </c>
      <c r="D519">
        <v>10.8</v>
      </c>
      <c r="E519">
        <v>21.6</v>
      </c>
      <c r="F519" s="1">
        <v>45680</v>
      </c>
      <c r="G519" s="1">
        <v>45683</v>
      </c>
      <c r="H519" t="s">
        <v>12</v>
      </c>
      <c r="I519" t="s">
        <v>20</v>
      </c>
      <c r="J519">
        <v>5</v>
      </c>
      <c r="K519" t="s">
        <v>4</v>
      </c>
      <c r="L519" t="s">
        <v>593</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594</v>
      </c>
      <c r="B520" t="s">
        <v>17</v>
      </c>
      <c r="C520">
        <v>13</v>
      </c>
      <c r="D520">
        <v>48.4</v>
      </c>
      <c r="E520">
        <v>629.19999999999993</v>
      </c>
      <c r="F520" s="1">
        <v>45680</v>
      </c>
      <c r="G520" s="1">
        <v>45684</v>
      </c>
      <c r="H520" t="s">
        <v>12</v>
      </c>
      <c r="I520" t="s">
        <v>3</v>
      </c>
      <c r="J520">
        <v>4</v>
      </c>
      <c r="K520" t="s">
        <v>4</v>
      </c>
      <c r="L520" t="s">
        <v>100</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595</v>
      </c>
      <c r="B521" t="s">
        <v>17</v>
      </c>
      <c r="C521">
        <v>3</v>
      </c>
      <c r="D521">
        <v>29.2</v>
      </c>
      <c r="E521">
        <v>87.6</v>
      </c>
      <c r="F521" s="1">
        <v>45680</v>
      </c>
      <c r="G521" s="1">
        <v>45683</v>
      </c>
      <c r="H521" t="s">
        <v>12</v>
      </c>
      <c r="I521" t="s">
        <v>20</v>
      </c>
      <c r="J521">
        <v>3</v>
      </c>
      <c r="K521" t="s">
        <v>4</v>
      </c>
      <c r="L521" t="s">
        <v>13</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596</v>
      </c>
      <c r="B522" t="s">
        <v>17</v>
      </c>
      <c r="C522">
        <v>2</v>
      </c>
      <c r="D522">
        <v>25.1</v>
      </c>
      <c r="E522">
        <v>50.2</v>
      </c>
      <c r="F522" s="1">
        <v>45680</v>
      </c>
      <c r="G522" s="1">
        <v>45681</v>
      </c>
      <c r="H522" t="s">
        <v>8</v>
      </c>
      <c r="I522" t="s">
        <v>3</v>
      </c>
      <c r="J522">
        <v>3</v>
      </c>
      <c r="K522" t="s">
        <v>4</v>
      </c>
      <c r="L522" t="s">
        <v>13</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597</v>
      </c>
      <c r="B523" t="s">
        <v>27</v>
      </c>
      <c r="C523">
        <v>3</v>
      </c>
      <c r="D523">
        <v>65.599999999999994</v>
      </c>
      <c r="E523">
        <v>196.79999999999998</v>
      </c>
      <c r="F523" s="1">
        <v>45680</v>
      </c>
      <c r="G523" s="1">
        <v>45680</v>
      </c>
      <c r="H523" t="s">
        <v>12</v>
      </c>
      <c r="I523" t="s">
        <v>25</v>
      </c>
      <c r="J523">
        <v>3</v>
      </c>
      <c r="K523" t="s">
        <v>4</v>
      </c>
      <c r="L523" t="s">
        <v>18</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598</v>
      </c>
      <c r="B524" t="s">
        <v>11</v>
      </c>
      <c r="C524">
        <v>2</v>
      </c>
      <c r="D524">
        <v>57.3</v>
      </c>
      <c r="E524">
        <v>114.6</v>
      </c>
      <c r="F524" s="1">
        <v>45680</v>
      </c>
      <c r="G524" s="1">
        <v>45680</v>
      </c>
      <c r="H524" t="s">
        <v>2</v>
      </c>
      <c r="I524" t="s">
        <v>3</v>
      </c>
      <c r="J524">
        <v>4</v>
      </c>
      <c r="K524" t="s">
        <v>4</v>
      </c>
      <c r="L524" t="s">
        <v>18</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599</v>
      </c>
      <c r="B525" t="s">
        <v>31</v>
      </c>
      <c r="C525">
        <v>4</v>
      </c>
      <c r="D525">
        <v>22.4</v>
      </c>
      <c r="E525">
        <v>89.6</v>
      </c>
      <c r="F525" s="1">
        <v>45680</v>
      </c>
      <c r="G525" s="1">
        <v>45681</v>
      </c>
      <c r="H525" t="s">
        <v>12</v>
      </c>
      <c r="I525" t="s">
        <v>25</v>
      </c>
      <c r="J525">
        <v>5</v>
      </c>
      <c r="K525" t="s">
        <v>4</v>
      </c>
      <c r="L525" t="s">
        <v>18</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600</v>
      </c>
      <c r="B526" t="s">
        <v>54</v>
      </c>
      <c r="C526">
        <v>9</v>
      </c>
      <c r="D526">
        <v>45.7</v>
      </c>
      <c r="E526">
        <v>411.3</v>
      </c>
      <c r="F526" s="1">
        <v>45680</v>
      </c>
      <c r="G526" s="1">
        <v>45681</v>
      </c>
      <c r="H526" t="s">
        <v>12</v>
      </c>
      <c r="I526" t="s">
        <v>3</v>
      </c>
      <c r="J526">
        <v>4</v>
      </c>
      <c r="K526" t="s">
        <v>4</v>
      </c>
      <c r="L526" t="s">
        <v>18</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601</v>
      </c>
      <c r="B527" t="s">
        <v>29</v>
      </c>
      <c r="C527">
        <v>2</v>
      </c>
      <c r="D527">
        <v>29.3</v>
      </c>
      <c r="E527">
        <v>58.6</v>
      </c>
      <c r="F527" s="1">
        <v>45680</v>
      </c>
      <c r="G527" s="1">
        <v>45681</v>
      </c>
      <c r="H527" t="s">
        <v>8</v>
      </c>
      <c r="I527" t="s">
        <v>20</v>
      </c>
      <c r="J527">
        <v>4</v>
      </c>
      <c r="K527" t="s">
        <v>4</v>
      </c>
      <c r="L527" t="s">
        <v>18</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602</v>
      </c>
      <c r="B528" t="s">
        <v>131</v>
      </c>
      <c r="C528">
        <v>22</v>
      </c>
      <c r="D528">
        <v>74</v>
      </c>
      <c r="E528">
        <v>1628</v>
      </c>
      <c r="F528" s="1">
        <v>45680</v>
      </c>
      <c r="G528" s="1">
        <v>45681</v>
      </c>
      <c r="H528" t="s">
        <v>8</v>
      </c>
      <c r="I528" t="s">
        <v>3</v>
      </c>
      <c r="J528">
        <v>5</v>
      </c>
      <c r="K528" t="s">
        <v>4</v>
      </c>
      <c r="L528" t="s">
        <v>18</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603</v>
      </c>
      <c r="B529" t="s">
        <v>66</v>
      </c>
      <c r="C529">
        <v>2</v>
      </c>
      <c r="D529">
        <v>39.200000000000003</v>
      </c>
      <c r="E529">
        <v>78.400000000000006</v>
      </c>
      <c r="F529" s="1">
        <v>45680</v>
      </c>
      <c r="G529" s="1">
        <v>45682</v>
      </c>
      <c r="H529" t="s">
        <v>12</v>
      </c>
      <c r="I529" t="s">
        <v>20</v>
      </c>
      <c r="J529">
        <v>4</v>
      </c>
      <c r="K529" t="s">
        <v>4</v>
      </c>
      <c r="L529" t="s">
        <v>18</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604</v>
      </c>
      <c r="B530" t="s">
        <v>17</v>
      </c>
      <c r="C530">
        <v>17</v>
      </c>
      <c r="D530">
        <v>62.7</v>
      </c>
      <c r="E530">
        <v>1065.9000000000001</v>
      </c>
      <c r="F530" s="1">
        <v>45680</v>
      </c>
      <c r="G530" s="1">
        <v>45681</v>
      </c>
      <c r="H530" t="s">
        <v>12</v>
      </c>
      <c r="I530" t="s">
        <v>25</v>
      </c>
      <c r="J530">
        <v>3</v>
      </c>
      <c r="K530" t="s">
        <v>4</v>
      </c>
      <c r="L530" t="s">
        <v>18</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605</v>
      </c>
      <c r="B531" t="s">
        <v>39</v>
      </c>
      <c r="C531">
        <v>2</v>
      </c>
      <c r="D531">
        <v>60.1</v>
      </c>
      <c r="E531">
        <v>120.2</v>
      </c>
      <c r="F531" s="1">
        <v>45680</v>
      </c>
      <c r="G531" s="1">
        <v>45681</v>
      </c>
      <c r="H531" t="s">
        <v>12</v>
      </c>
      <c r="I531" t="s">
        <v>36</v>
      </c>
      <c r="J531">
        <v>4</v>
      </c>
      <c r="K531" t="s">
        <v>4</v>
      </c>
      <c r="L531" t="s">
        <v>18</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606</v>
      </c>
      <c r="B532" t="s">
        <v>1</v>
      </c>
      <c r="C532">
        <v>4</v>
      </c>
      <c r="D532">
        <v>11.2</v>
      </c>
      <c r="E532">
        <v>44.8</v>
      </c>
      <c r="F532" s="1">
        <v>45680</v>
      </c>
      <c r="G532" s="1">
        <v>45681</v>
      </c>
      <c r="H532" t="s">
        <v>12</v>
      </c>
      <c r="I532" t="s">
        <v>36</v>
      </c>
      <c r="J532">
        <v>3</v>
      </c>
      <c r="K532" t="s">
        <v>4</v>
      </c>
      <c r="L532" t="s">
        <v>18</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607</v>
      </c>
      <c r="B533" t="s">
        <v>29</v>
      </c>
      <c r="C533">
        <v>2</v>
      </c>
      <c r="D533">
        <v>22.9</v>
      </c>
      <c r="E533">
        <v>45.8</v>
      </c>
      <c r="F533" s="1">
        <v>45680</v>
      </c>
      <c r="G533" s="1">
        <v>45681</v>
      </c>
      <c r="H533" t="s">
        <v>12</v>
      </c>
      <c r="I533" t="s">
        <v>3</v>
      </c>
      <c r="J533">
        <v>4</v>
      </c>
      <c r="K533" t="s">
        <v>4</v>
      </c>
      <c r="L533" t="s">
        <v>40</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608</v>
      </c>
      <c r="B534" t="s">
        <v>7</v>
      </c>
      <c r="C534">
        <v>2</v>
      </c>
      <c r="D534">
        <v>37.6</v>
      </c>
      <c r="E534">
        <v>75.2</v>
      </c>
      <c r="F534" s="1">
        <v>45680</v>
      </c>
      <c r="G534" s="1">
        <v>45683</v>
      </c>
      <c r="H534" t="s">
        <v>12</v>
      </c>
      <c r="I534" t="s">
        <v>3</v>
      </c>
      <c r="J534">
        <v>4</v>
      </c>
      <c r="K534" t="s">
        <v>4</v>
      </c>
      <c r="L534" t="s">
        <v>40</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609</v>
      </c>
      <c r="B535" t="s">
        <v>24</v>
      </c>
      <c r="C535">
        <v>1</v>
      </c>
      <c r="D535">
        <v>42.4</v>
      </c>
      <c r="E535">
        <v>42.4</v>
      </c>
      <c r="F535" s="1">
        <v>45680</v>
      </c>
      <c r="G535" s="1">
        <v>45681</v>
      </c>
      <c r="H535" t="s">
        <v>12</v>
      </c>
      <c r="I535" t="s">
        <v>36</v>
      </c>
      <c r="J535">
        <v>5</v>
      </c>
      <c r="K535" t="s">
        <v>4</v>
      </c>
      <c r="L535" t="s">
        <v>40</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610</v>
      </c>
      <c r="B536" t="s">
        <v>29</v>
      </c>
      <c r="C536">
        <v>2</v>
      </c>
      <c r="D536">
        <v>19.600000000000001</v>
      </c>
      <c r="E536">
        <v>39.200000000000003</v>
      </c>
      <c r="F536" s="1">
        <v>45680</v>
      </c>
      <c r="G536" s="1">
        <v>45684</v>
      </c>
      <c r="H536" t="s">
        <v>12</v>
      </c>
      <c r="I536" t="s">
        <v>25</v>
      </c>
      <c r="J536">
        <v>4</v>
      </c>
      <c r="K536" t="s">
        <v>4</v>
      </c>
      <c r="L536" t="s">
        <v>44</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611</v>
      </c>
      <c r="B537" t="s">
        <v>31</v>
      </c>
      <c r="C537">
        <v>1</v>
      </c>
      <c r="D537">
        <v>90.5</v>
      </c>
      <c r="E537">
        <v>90.5</v>
      </c>
      <c r="F537" s="1">
        <v>45680</v>
      </c>
      <c r="G537" s="1">
        <v>45683</v>
      </c>
      <c r="H537" t="s">
        <v>12</v>
      </c>
      <c r="I537" t="s">
        <v>25</v>
      </c>
      <c r="J537">
        <v>4</v>
      </c>
      <c r="K537" t="s">
        <v>4</v>
      </c>
      <c r="L537" t="s">
        <v>44</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612</v>
      </c>
      <c r="B538" t="s">
        <v>113</v>
      </c>
      <c r="C538">
        <v>11</v>
      </c>
      <c r="D538">
        <v>33.9</v>
      </c>
      <c r="E538">
        <v>372.9</v>
      </c>
      <c r="F538" s="1">
        <v>45680</v>
      </c>
      <c r="G538" s="1">
        <v>45681</v>
      </c>
      <c r="H538" t="s">
        <v>8</v>
      </c>
      <c r="I538" t="s">
        <v>25</v>
      </c>
      <c r="J538">
        <v>3</v>
      </c>
      <c r="K538" t="s">
        <v>4</v>
      </c>
      <c r="L538" t="s">
        <v>44</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613</v>
      </c>
      <c r="B539" t="s">
        <v>1</v>
      </c>
      <c r="C539">
        <v>2</v>
      </c>
      <c r="D539">
        <v>32.799999999999997</v>
      </c>
      <c r="E539">
        <v>65.599999999999994</v>
      </c>
      <c r="F539" s="1">
        <v>45680</v>
      </c>
      <c r="G539" s="1">
        <v>45682</v>
      </c>
      <c r="H539" t="s">
        <v>12</v>
      </c>
      <c r="I539" t="s">
        <v>55</v>
      </c>
      <c r="J539">
        <v>2</v>
      </c>
      <c r="K539" t="s">
        <v>4</v>
      </c>
      <c r="L539" t="s">
        <v>47</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614</v>
      </c>
      <c r="B540" t="s">
        <v>108</v>
      </c>
      <c r="C540">
        <v>1</v>
      </c>
      <c r="D540">
        <v>49.9</v>
      </c>
      <c r="E540">
        <v>49.9</v>
      </c>
      <c r="F540" s="1">
        <v>45680</v>
      </c>
      <c r="G540" s="1">
        <v>45681</v>
      </c>
      <c r="H540" t="s">
        <v>8</v>
      </c>
      <c r="I540" t="s">
        <v>36</v>
      </c>
      <c r="J540">
        <v>3</v>
      </c>
      <c r="K540" t="s">
        <v>4</v>
      </c>
      <c r="L540" t="s">
        <v>47</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615</v>
      </c>
      <c r="B541" t="s">
        <v>27</v>
      </c>
      <c r="C541">
        <v>5</v>
      </c>
      <c r="D541">
        <v>79.2</v>
      </c>
      <c r="E541">
        <v>396</v>
      </c>
      <c r="F541" s="1">
        <v>45680</v>
      </c>
      <c r="G541" s="1">
        <v>45681</v>
      </c>
      <c r="H541" t="s">
        <v>12</v>
      </c>
      <c r="I541" t="s">
        <v>55</v>
      </c>
      <c r="J541">
        <v>4</v>
      </c>
      <c r="K541" t="s">
        <v>4</v>
      </c>
      <c r="L541" t="s">
        <v>47</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616</v>
      </c>
      <c r="B542" t="s">
        <v>29</v>
      </c>
      <c r="C542">
        <v>16</v>
      </c>
      <c r="D542">
        <v>19.5</v>
      </c>
      <c r="E542">
        <v>312</v>
      </c>
      <c r="F542" s="1">
        <v>45680</v>
      </c>
      <c r="G542" s="1">
        <v>45682</v>
      </c>
      <c r="H542" t="s">
        <v>8</v>
      </c>
      <c r="I542" t="s">
        <v>36</v>
      </c>
      <c r="J542">
        <v>5</v>
      </c>
      <c r="K542" t="s">
        <v>4</v>
      </c>
      <c r="L542" t="s">
        <v>47</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617</v>
      </c>
      <c r="B543" t="s">
        <v>29</v>
      </c>
      <c r="C543">
        <v>4</v>
      </c>
      <c r="D543">
        <v>18</v>
      </c>
      <c r="E543">
        <v>72</v>
      </c>
      <c r="F543" s="1">
        <v>45680</v>
      </c>
      <c r="G543" s="1">
        <v>45681</v>
      </c>
      <c r="H543" t="s">
        <v>8</v>
      </c>
      <c r="I543" t="s">
        <v>20</v>
      </c>
      <c r="J543">
        <v>4</v>
      </c>
      <c r="K543" t="s">
        <v>4</v>
      </c>
      <c r="L543" t="s">
        <v>59</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618</v>
      </c>
      <c r="B544" t="s">
        <v>31</v>
      </c>
      <c r="C544">
        <v>3</v>
      </c>
      <c r="D544">
        <v>45.9</v>
      </c>
      <c r="E544">
        <v>137.69999999999999</v>
      </c>
      <c r="F544" s="1">
        <v>45680</v>
      </c>
      <c r="G544" s="1">
        <v>45682</v>
      </c>
      <c r="H544" t="s">
        <v>12</v>
      </c>
      <c r="I544" t="s">
        <v>20</v>
      </c>
      <c r="J544">
        <v>3</v>
      </c>
      <c r="K544" t="s">
        <v>4</v>
      </c>
      <c r="L544" t="s">
        <v>59</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619</v>
      </c>
      <c r="B545" t="s">
        <v>52</v>
      </c>
      <c r="C545">
        <v>1</v>
      </c>
      <c r="D545">
        <v>41.2</v>
      </c>
      <c r="E545">
        <v>41.2</v>
      </c>
      <c r="F545" s="1">
        <v>45680</v>
      </c>
      <c r="G545" s="1">
        <v>45682</v>
      </c>
      <c r="H545" t="s">
        <v>12</v>
      </c>
      <c r="I545" t="s">
        <v>20</v>
      </c>
      <c r="J545">
        <v>5</v>
      </c>
      <c r="K545" t="s">
        <v>4</v>
      </c>
      <c r="L545" t="s">
        <v>62</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620</v>
      </c>
      <c r="B546" t="s">
        <v>11</v>
      </c>
      <c r="C546">
        <v>10</v>
      </c>
      <c r="D546">
        <v>167.2</v>
      </c>
      <c r="E546">
        <v>1672</v>
      </c>
      <c r="F546" s="1">
        <v>45680</v>
      </c>
      <c r="G546" s="1">
        <v>45682</v>
      </c>
      <c r="H546" t="s">
        <v>12</v>
      </c>
      <c r="I546" t="s">
        <v>25</v>
      </c>
      <c r="J546">
        <v>5</v>
      </c>
      <c r="K546" t="s">
        <v>4</v>
      </c>
      <c r="L546" t="s">
        <v>294</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621</v>
      </c>
      <c r="B547" t="s">
        <v>24</v>
      </c>
      <c r="C547">
        <v>30</v>
      </c>
      <c r="D547">
        <v>74.5</v>
      </c>
      <c r="E547">
        <v>2235</v>
      </c>
      <c r="F547" s="1">
        <v>45681</v>
      </c>
      <c r="G547" s="1">
        <v>45684</v>
      </c>
      <c r="H547" t="s">
        <v>12</v>
      </c>
      <c r="I547" t="s">
        <v>20</v>
      </c>
      <c r="J547">
        <v>5</v>
      </c>
      <c r="K547" t="s">
        <v>4</v>
      </c>
      <c r="L547" t="s">
        <v>362</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622</v>
      </c>
      <c r="B548" t="s">
        <v>27</v>
      </c>
      <c r="C548">
        <v>4</v>
      </c>
      <c r="D548">
        <v>39.299999999999997</v>
      </c>
      <c r="E548">
        <v>157.19999999999999</v>
      </c>
      <c r="F548" s="1">
        <v>45681</v>
      </c>
      <c r="G548" s="1">
        <v>45682</v>
      </c>
      <c r="H548" t="s">
        <v>2</v>
      </c>
      <c r="I548" t="s">
        <v>25</v>
      </c>
      <c r="J548">
        <v>4</v>
      </c>
      <c r="K548" t="s">
        <v>4</v>
      </c>
      <c r="L548" t="s">
        <v>95</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623</v>
      </c>
      <c r="B549" t="s">
        <v>31</v>
      </c>
      <c r="C549">
        <v>1</v>
      </c>
      <c r="D549">
        <v>68.5</v>
      </c>
      <c r="E549">
        <v>68.5</v>
      </c>
      <c r="F549" s="1">
        <v>45681</v>
      </c>
      <c r="G549" s="1">
        <v>45684</v>
      </c>
      <c r="H549" t="s">
        <v>8</v>
      </c>
      <c r="I549" t="s">
        <v>20</v>
      </c>
      <c r="J549">
        <v>5</v>
      </c>
      <c r="K549" t="s">
        <v>4</v>
      </c>
      <c r="L549" t="s">
        <v>64</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624</v>
      </c>
      <c r="B550" t="s">
        <v>1</v>
      </c>
      <c r="C550">
        <v>3</v>
      </c>
      <c r="D550">
        <v>22.5</v>
      </c>
      <c r="E550">
        <v>67.5</v>
      </c>
      <c r="F550" s="1">
        <v>45681</v>
      </c>
      <c r="G550" s="1">
        <v>45681</v>
      </c>
      <c r="H550" t="s">
        <v>12</v>
      </c>
      <c r="I550" t="s">
        <v>55</v>
      </c>
      <c r="J550">
        <v>4</v>
      </c>
      <c r="K550" t="s">
        <v>4</v>
      </c>
      <c r="L550" t="s">
        <v>67</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625</v>
      </c>
      <c r="B551" t="s">
        <v>7</v>
      </c>
      <c r="C551">
        <v>1</v>
      </c>
      <c r="D551">
        <v>48</v>
      </c>
      <c r="E551">
        <v>48</v>
      </c>
      <c r="F551" s="1">
        <v>45681</v>
      </c>
      <c r="G551" s="1">
        <v>45682</v>
      </c>
      <c r="H551" t="s">
        <v>74</v>
      </c>
      <c r="I551" t="s">
        <v>55</v>
      </c>
      <c r="J551">
        <v>3</v>
      </c>
      <c r="K551" t="s">
        <v>4</v>
      </c>
      <c r="L551" t="s">
        <v>626</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627</v>
      </c>
      <c r="B552" t="s">
        <v>24</v>
      </c>
      <c r="C552">
        <v>1</v>
      </c>
      <c r="D552">
        <v>94</v>
      </c>
      <c r="E552">
        <v>94</v>
      </c>
      <c r="F552" s="1">
        <v>45681</v>
      </c>
      <c r="G552" s="1">
        <v>45682</v>
      </c>
      <c r="H552" t="s">
        <v>8</v>
      </c>
      <c r="I552" t="s">
        <v>36</v>
      </c>
      <c r="J552">
        <v>3</v>
      </c>
      <c r="K552" t="s">
        <v>4</v>
      </c>
      <c r="L552" t="s">
        <v>9</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628</v>
      </c>
      <c r="B553" t="s">
        <v>29</v>
      </c>
      <c r="C553">
        <v>3</v>
      </c>
      <c r="D553">
        <v>21.9</v>
      </c>
      <c r="E553">
        <v>65.699999999999989</v>
      </c>
      <c r="F553" s="1">
        <v>45681</v>
      </c>
      <c r="G553" s="1">
        <v>45682</v>
      </c>
      <c r="H553" t="s">
        <v>12</v>
      </c>
      <c r="I553" t="s">
        <v>3</v>
      </c>
      <c r="J553">
        <v>4</v>
      </c>
      <c r="K553" t="s">
        <v>4</v>
      </c>
      <c r="L553" t="s">
        <v>572</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629</v>
      </c>
      <c r="B554" t="s">
        <v>24</v>
      </c>
      <c r="C554">
        <v>7</v>
      </c>
      <c r="D554">
        <v>64.900000000000006</v>
      </c>
      <c r="E554">
        <v>454.30000000000007</v>
      </c>
      <c r="F554" s="1">
        <v>45681</v>
      </c>
      <c r="G554" s="1">
        <v>45682</v>
      </c>
      <c r="H554" t="s">
        <v>12</v>
      </c>
      <c r="I554" t="s">
        <v>3</v>
      </c>
      <c r="J554">
        <v>4</v>
      </c>
      <c r="K554" t="s">
        <v>4</v>
      </c>
      <c r="L554" t="s">
        <v>18</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630</v>
      </c>
      <c r="B555" t="s">
        <v>54</v>
      </c>
      <c r="C555">
        <v>1</v>
      </c>
      <c r="D555">
        <v>52.9</v>
      </c>
      <c r="E555">
        <v>52.9</v>
      </c>
      <c r="F555" s="1">
        <v>45681</v>
      </c>
      <c r="G555" s="1">
        <v>45681</v>
      </c>
      <c r="H555" t="s">
        <v>12</v>
      </c>
      <c r="I555" t="s">
        <v>20</v>
      </c>
      <c r="J555">
        <v>3</v>
      </c>
      <c r="K555" t="s">
        <v>4</v>
      </c>
      <c r="L555" t="s">
        <v>18</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631</v>
      </c>
      <c r="B556" t="s">
        <v>29</v>
      </c>
      <c r="C556">
        <v>3</v>
      </c>
      <c r="D556">
        <v>25.5</v>
      </c>
      <c r="E556">
        <v>76.5</v>
      </c>
      <c r="F556" s="1">
        <v>45681</v>
      </c>
      <c r="G556" s="1">
        <v>45682</v>
      </c>
      <c r="H556" t="s">
        <v>12</v>
      </c>
      <c r="I556" t="s">
        <v>20</v>
      </c>
      <c r="J556">
        <v>5</v>
      </c>
      <c r="K556" t="s">
        <v>4</v>
      </c>
      <c r="L556" t="s">
        <v>18</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632</v>
      </c>
      <c r="B557" t="s">
        <v>24</v>
      </c>
      <c r="C557">
        <v>3</v>
      </c>
      <c r="D557">
        <v>51.9</v>
      </c>
      <c r="E557">
        <v>155.69999999999999</v>
      </c>
      <c r="F557" s="1">
        <v>45681</v>
      </c>
      <c r="G557" s="1">
        <v>45682</v>
      </c>
      <c r="H557" t="s">
        <v>12</v>
      </c>
      <c r="I557" t="s">
        <v>36</v>
      </c>
      <c r="J557">
        <v>4</v>
      </c>
      <c r="K557" t="s">
        <v>4</v>
      </c>
      <c r="L557" t="s">
        <v>18</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633</v>
      </c>
      <c r="B558" t="s">
        <v>22</v>
      </c>
      <c r="C558">
        <v>1</v>
      </c>
      <c r="D558">
        <v>46.3</v>
      </c>
      <c r="E558">
        <v>46.3</v>
      </c>
      <c r="F558" s="1">
        <v>45681</v>
      </c>
      <c r="G558" s="1">
        <v>45684</v>
      </c>
      <c r="H558" t="s">
        <v>12</v>
      </c>
      <c r="I558" t="s">
        <v>55</v>
      </c>
      <c r="J558">
        <v>4</v>
      </c>
      <c r="K558" t="s">
        <v>4</v>
      </c>
      <c r="L558" t="s">
        <v>18</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634</v>
      </c>
      <c r="B559" t="s">
        <v>24</v>
      </c>
      <c r="C559">
        <v>2</v>
      </c>
      <c r="D559">
        <v>68.2</v>
      </c>
      <c r="E559">
        <v>136.4</v>
      </c>
      <c r="F559" s="1">
        <v>45681</v>
      </c>
      <c r="G559" s="1">
        <v>45683</v>
      </c>
      <c r="H559" t="s">
        <v>12</v>
      </c>
      <c r="I559" t="s">
        <v>36</v>
      </c>
      <c r="J559">
        <v>4</v>
      </c>
      <c r="K559" t="s">
        <v>4</v>
      </c>
      <c r="L559" t="s">
        <v>18</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635</v>
      </c>
      <c r="B560" t="s">
        <v>7</v>
      </c>
      <c r="C560">
        <v>1</v>
      </c>
      <c r="D560">
        <v>40.299999999999997</v>
      </c>
      <c r="E560">
        <v>40.299999999999997</v>
      </c>
      <c r="F560" s="1">
        <v>45681</v>
      </c>
      <c r="G560" s="1">
        <v>45682</v>
      </c>
      <c r="H560" t="s">
        <v>8</v>
      </c>
      <c r="I560" t="s">
        <v>3</v>
      </c>
      <c r="J560">
        <v>3</v>
      </c>
      <c r="K560" t="s">
        <v>4</v>
      </c>
      <c r="L560" t="s">
        <v>18</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636</v>
      </c>
      <c r="B561" t="s">
        <v>11</v>
      </c>
      <c r="C561">
        <v>3</v>
      </c>
      <c r="D561">
        <v>91.3</v>
      </c>
      <c r="E561">
        <v>273.89999999999998</v>
      </c>
      <c r="F561" s="1">
        <v>45681</v>
      </c>
      <c r="G561" s="1">
        <v>45686</v>
      </c>
      <c r="H561" t="s">
        <v>8</v>
      </c>
      <c r="I561" t="s">
        <v>3</v>
      </c>
      <c r="J561">
        <v>5</v>
      </c>
      <c r="K561" t="s">
        <v>4</v>
      </c>
      <c r="L561" t="s">
        <v>40</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637</v>
      </c>
      <c r="B562" t="s">
        <v>1</v>
      </c>
      <c r="C562">
        <v>3</v>
      </c>
      <c r="D562">
        <v>11.9</v>
      </c>
      <c r="E562">
        <v>35.700000000000003</v>
      </c>
      <c r="F562" s="1">
        <v>45681</v>
      </c>
      <c r="G562" s="1">
        <v>45682</v>
      </c>
      <c r="H562" t="s">
        <v>12</v>
      </c>
      <c r="I562" t="s">
        <v>3</v>
      </c>
      <c r="J562">
        <v>3</v>
      </c>
      <c r="K562" t="s">
        <v>4</v>
      </c>
      <c r="L562" t="s">
        <v>40</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638</v>
      </c>
      <c r="B563" t="s">
        <v>11</v>
      </c>
      <c r="C563">
        <v>2</v>
      </c>
      <c r="D563">
        <v>63.5</v>
      </c>
      <c r="E563">
        <v>127</v>
      </c>
      <c r="F563" s="1">
        <v>45681</v>
      </c>
      <c r="G563" s="1">
        <v>45683</v>
      </c>
      <c r="H563" t="s">
        <v>8</v>
      </c>
      <c r="I563" t="s">
        <v>20</v>
      </c>
      <c r="J563">
        <v>4</v>
      </c>
      <c r="K563" t="s">
        <v>4</v>
      </c>
      <c r="L563" t="s">
        <v>40</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639</v>
      </c>
      <c r="B564" t="s">
        <v>17</v>
      </c>
      <c r="C564">
        <v>2</v>
      </c>
      <c r="D564">
        <v>27.1</v>
      </c>
      <c r="E564">
        <v>54.2</v>
      </c>
      <c r="F564" s="1">
        <v>45681</v>
      </c>
      <c r="G564" s="1">
        <v>45684</v>
      </c>
      <c r="H564" t="s">
        <v>8</v>
      </c>
      <c r="I564" t="s">
        <v>25</v>
      </c>
      <c r="J564">
        <v>5</v>
      </c>
      <c r="K564" t="s">
        <v>4</v>
      </c>
      <c r="L564" t="s">
        <v>40</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640</v>
      </c>
      <c r="B565" t="s">
        <v>7</v>
      </c>
      <c r="C565">
        <v>2</v>
      </c>
      <c r="D565">
        <v>82.1</v>
      </c>
      <c r="E565">
        <v>164.2</v>
      </c>
      <c r="F565" s="1">
        <v>45682</v>
      </c>
      <c r="G565" s="1">
        <v>45685</v>
      </c>
      <c r="H565" t="s">
        <v>8</v>
      </c>
      <c r="I565" t="s">
        <v>20</v>
      </c>
      <c r="J565">
        <v>3</v>
      </c>
      <c r="K565" t="s">
        <v>4</v>
      </c>
      <c r="L565" t="s">
        <v>44</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641</v>
      </c>
      <c r="B566" t="s">
        <v>15</v>
      </c>
      <c r="C566">
        <v>5</v>
      </c>
      <c r="D566">
        <v>42.9</v>
      </c>
      <c r="E566">
        <v>214.5</v>
      </c>
      <c r="F566" s="1">
        <v>45682</v>
      </c>
      <c r="G566" s="1">
        <v>45684</v>
      </c>
      <c r="H566" t="s">
        <v>12</v>
      </c>
      <c r="I566" t="s">
        <v>20</v>
      </c>
      <c r="J566">
        <v>4</v>
      </c>
      <c r="K566" t="s">
        <v>4</v>
      </c>
      <c r="L566" t="s">
        <v>47</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642</v>
      </c>
      <c r="B567" t="s">
        <v>29</v>
      </c>
      <c r="C567">
        <v>11</v>
      </c>
      <c r="D567">
        <v>37.9</v>
      </c>
      <c r="E567">
        <v>416.9</v>
      </c>
      <c r="F567" s="1">
        <v>45682</v>
      </c>
      <c r="G567" s="1">
        <v>45689</v>
      </c>
      <c r="H567" t="s">
        <v>8</v>
      </c>
      <c r="I567" t="s">
        <v>3</v>
      </c>
      <c r="J567">
        <v>4</v>
      </c>
      <c r="K567" t="s">
        <v>4</v>
      </c>
      <c r="L567" t="s">
        <v>47</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643</v>
      </c>
      <c r="B568" t="s">
        <v>1</v>
      </c>
      <c r="C568">
        <v>1</v>
      </c>
      <c r="D568">
        <v>22.4</v>
      </c>
      <c r="E568">
        <v>22.4</v>
      </c>
      <c r="F568" s="1">
        <v>45682</v>
      </c>
      <c r="G568" s="1">
        <v>45683</v>
      </c>
      <c r="H568" t="s">
        <v>12</v>
      </c>
      <c r="I568" t="s">
        <v>3</v>
      </c>
      <c r="J568">
        <v>3</v>
      </c>
      <c r="K568" t="s">
        <v>4</v>
      </c>
      <c r="L568" t="s">
        <v>88</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644</v>
      </c>
      <c r="B569" t="s">
        <v>11</v>
      </c>
      <c r="C569">
        <v>13</v>
      </c>
      <c r="D569">
        <v>79.900000000000006</v>
      </c>
      <c r="E569">
        <v>1038.7</v>
      </c>
      <c r="F569" s="1">
        <v>45682</v>
      </c>
      <c r="G569" s="1">
        <v>45695</v>
      </c>
      <c r="H569" t="s">
        <v>12</v>
      </c>
      <c r="I569" t="s">
        <v>36</v>
      </c>
      <c r="J569">
        <v>3</v>
      </c>
      <c r="K569" t="s">
        <v>4</v>
      </c>
      <c r="L569" t="s">
        <v>62</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645</v>
      </c>
      <c r="B570" t="s">
        <v>7</v>
      </c>
      <c r="C570">
        <v>1</v>
      </c>
      <c r="D570">
        <v>70.599999999999994</v>
      </c>
      <c r="E570">
        <v>70.599999999999994</v>
      </c>
      <c r="F570" s="1">
        <v>45682</v>
      </c>
      <c r="G570" s="1">
        <v>45685</v>
      </c>
      <c r="H570" t="s">
        <v>12</v>
      </c>
      <c r="I570" t="s">
        <v>3</v>
      </c>
      <c r="J570">
        <v>3</v>
      </c>
      <c r="K570" t="s">
        <v>4</v>
      </c>
      <c r="L570" t="s">
        <v>62</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646</v>
      </c>
      <c r="B571" t="s">
        <v>24</v>
      </c>
      <c r="C571">
        <v>1</v>
      </c>
      <c r="D571">
        <v>49.5</v>
      </c>
      <c r="E571">
        <v>49.5</v>
      </c>
      <c r="F571" s="1">
        <v>45682</v>
      </c>
      <c r="G571" s="1">
        <v>45684</v>
      </c>
      <c r="H571" t="s">
        <v>8</v>
      </c>
      <c r="I571" t="s">
        <v>3</v>
      </c>
      <c r="J571">
        <v>4</v>
      </c>
      <c r="K571" t="s">
        <v>4</v>
      </c>
      <c r="L571" t="s">
        <v>67</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647</v>
      </c>
      <c r="B572" t="s">
        <v>11</v>
      </c>
      <c r="C572">
        <v>2</v>
      </c>
      <c r="D572">
        <v>96.6</v>
      </c>
      <c r="E572">
        <v>193.2</v>
      </c>
      <c r="F572" s="1">
        <v>45682</v>
      </c>
      <c r="G572" s="1">
        <v>45684</v>
      </c>
      <c r="H572" t="s">
        <v>8</v>
      </c>
      <c r="I572" t="s">
        <v>3</v>
      </c>
      <c r="J572">
        <v>4</v>
      </c>
      <c r="K572" t="s">
        <v>4</v>
      </c>
      <c r="L572" t="s">
        <v>100</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648</v>
      </c>
      <c r="B573" t="s">
        <v>24</v>
      </c>
      <c r="C573">
        <v>2</v>
      </c>
      <c r="D573">
        <v>52.8</v>
      </c>
      <c r="E573">
        <v>105.6</v>
      </c>
      <c r="F573" s="1">
        <v>45682</v>
      </c>
      <c r="G573" s="1">
        <v>45683</v>
      </c>
      <c r="H573" t="s">
        <v>12</v>
      </c>
      <c r="I573" t="s">
        <v>20</v>
      </c>
      <c r="J573">
        <v>3</v>
      </c>
      <c r="K573" t="s">
        <v>4</v>
      </c>
      <c r="L573" t="s">
        <v>100</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649</v>
      </c>
      <c r="B574" t="s">
        <v>11</v>
      </c>
      <c r="C574">
        <v>1</v>
      </c>
      <c r="D574">
        <v>101.7</v>
      </c>
      <c r="E574">
        <v>101.7</v>
      </c>
      <c r="F574" s="1">
        <v>45682</v>
      </c>
      <c r="G574" s="1">
        <v>45683</v>
      </c>
      <c r="H574" t="s">
        <v>8</v>
      </c>
      <c r="I574" t="s">
        <v>3</v>
      </c>
      <c r="J574">
        <v>4</v>
      </c>
      <c r="K574" t="s">
        <v>4</v>
      </c>
      <c r="L574" t="s">
        <v>9</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650</v>
      </c>
      <c r="B575" t="s">
        <v>17</v>
      </c>
      <c r="C575">
        <v>5</v>
      </c>
      <c r="D575">
        <v>26.9</v>
      </c>
      <c r="E575">
        <v>134.5</v>
      </c>
      <c r="F575" s="1">
        <v>45682</v>
      </c>
      <c r="G575" s="1">
        <v>45687</v>
      </c>
      <c r="H575" t="s">
        <v>12</v>
      </c>
      <c r="I575" t="s">
        <v>20</v>
      </c>
      <c r="J575">
        <v>3</v>
      </c>
      <c r="K575" t="s">
        <v>4</v>
      </c>
      <c r="L575" t="s">
        <v>132</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651</v>
      </c>
      <c r="B576" t="s">
        <v>11</v>
      </c>
      <c r="C576">
        <v>4</v>
      </c>
      <c r="D576">
        <v>211</v>
      </c>
      <c r="E576">
        <v>844</v>
      </c>
      <c r="F576" s="1">
        <v>45682</v>
      </c>
      <c r="G576" s="1">
        <v>45682</v>
      </c>
      <c r="H576" t="s">
        <v>12</v>
      </c>
      <c r="I576" t="s">
        <v>20</v>
      </c>
      <c r="J576">
        <v>3</v>
      </c>
      <c r="K576" t="s">
        <v>4</v>
      </c>
      <c r="L576" t="s">
        <v>18</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652</v>
      </c>
      <c r="B577" t="s">
        <v>1</v>
      </c>
      <c r="C577">
        <v>4</v>
      </c>
      <c r="D577">
        <v>21.1</v>
      </c>
      <c r="E577">
        <v>84.4</v>
      </c>
      <c r="F577" s="1">
        <v>45682</v>
      </c>
      <c r="G577" s="1">
        <v>45685</v>
      </c>
      <c r="H577" t="s">
        <v>8</v>
      </c>
      <c r="I577" t="s">
        <v>55</v>
      </c>
      <c r="J577">
        <v>4</v>
      </c>
      <c r="K577" t="s">
        <v>4</v>
      </c>
      <c r="L577" t="s">
        <v>18</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653</v>
      </c>
      <c r="B578" t="s">
        <v>39</v>
      </c>
      <c r="C578">
        <v>1</v>
      </c>
      <c r="D578">
        <v>26.6</v>
      </c>
      <c r="E578">
        <v>26.6</v>
      </c>
      <c r="F578" s="1">
        <v>45682</v>
      </c>
      <c r="G578" s="1">
        <v>45684</v>
      </c>
      <c r="H578" t="s">
        <v>8</v>
      </c>
      <c r="I578" t="s">
        <v>3</v>
      </c>
      <c r="J578">
        <v>2</v>
      </c>
      <c r="K578" t="s">
        <v>4</v>
      </c>
      <c r="L578" t="s">
        <v>18</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654</v>
      </c>
      <c r="B579" t="s">
        <v>54</v>
      </c>
      <c r="C579">
        <v>4</v>
      </c>
      <c r="D579">
        <v>51.2</v>
      </c>
      <c r="E579">
        <v>204.8</v>
      </c>
      <c r="F579" s="1">
        <v>45682</v>
      </c>
      <c r="G579" s="1">
        <v>45683</v>
      </c>
      <c r="H579" t="s">
        <v>12</v>
      </c>
      <c r="I579" t="s">
        <v>36</v>
      </c>
      <c r="J579">
        <v>4</v>
      </c>
      <c r="K579" t="s">
        <v>4</v>
      </c>
      <c r="L579" t="s">
        <v>655</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656</v>
      </c>
      <c r="B580" t="s">
        <v>1</v>
      </c>
      <c r="C580">
        <v>5</v>
      </c>
      <c r="D580">
        <v>10.6</v>
      </c>
      <c r="E580">
        <v>53</v>
      </c>
      <c r="F580" s="1">
        <v>45682</v>
      </c>
      <c r="G580" s="1">
        <v>45686</v>
      </c>
      <c r="H580" t="s">
        <v>12</v>
      </c>
      <c r="I580" t="s">
        <v>3</v>
      </c>
      <c r="J580">
        <v>4</v>
      </c>
      <c r="K580" t="s">
        <v>4</v>
      </c>
      <c r="L580" t="s">
        <v>47</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657</v>
      </c>
      <c r="B581" t="s">
        <v>24</v>
      </c>
      <c r="C581">
        <v>3</v>
      </c>
      <c r="D581">
        <v>43.4</v>
      </c>
      <c r="E581">
        <v>130.19999999999999</v>
      </c>
      <c r="F581" s="1">
        <v>45682</v>
      </c>
      <c r="G581" s="1">
        <v>45685</v>
      </c>
      <c r="H581" t="s">
        <v>12</v>
      </c>
      <c r="I581" t="s">
        <v>55</v>
      </c>
      <c r="J581">
        <v>4</v>
      </c>
      <c r="K581" t="s">
        <v>4</v>
      </c>
      <c r="L581" t="s">
        <v>47</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658</v>
      </c>
      <c r="B582" t="s">
        <v>54</v>
      </c>
      <c r="C582">
        <v>1</v>
      </c>
      <c r="D582">
        <v>80</v>
      </c>
      <c r="E582">
        <v>80</v>
      </c>
      <c r="F582" s="1">
        <v>45682</v>
      </c>
      <c r="G582" s="1">
        <v>45682</v>
      </c>
      <c r="H582" t="s">
        <v>12</v>
      </c>
      <c r="I582" t="s">
        <v>3</v>
      </c>
      <c r="J582">
        <v>5</v>
      </c>
      <c r="K582" t="s">
        <v>4</v>
      </c>
      <c r="L582" t="s">
        <v>47</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659</v>
      </c>
      <c r="B583" t="s">
        <v>39</v>
      </c>
      <c r="C583">
        <v>4</v>
      </c>
      <c r="D583">
        <v>64.7</v>
      </c>
      <c r="E583">
        <v>258.8</v>
      </c>
      <c r="F583" s="1">
        <v>45682</v>
      </c>
      <c r="G583" s="1">
        <v>45684</v>
      </c>
      <c r="H583" t="s">
        <v>12</v>
      </c>
      <c r="I583" t="s">
        <v>20</v>
      </c>
      <c r="J583">
        <v>2</v>
      </c>
      <c r="K583" t="s">
        <v>4</v>
      </c>
      <c r="L583" t="s">
        <v>47</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660</v>
      </c>
      <c r="B584" t="s">
        <v>29</v>
      </c>
      <c r="C584">
        <v>11</v>
      </c>
      <c r="D584">
        <v>26.3</v>
      </c>
      <c r="E584">
        <v>289.3</v>
      </c>
      <c r="F584" s="1">
        <v>45683</v>
      </c>
      <c r="G584" s="1">
        <v>45683</v>
      </c>
      <c r="H584" t="s">
        <v>12</v>
      </c>
      <c r="I584" t="s">
        <v>55</v>
      </c>
      <c r="J584">
        <v>3</v>
      </c>
      <c r="K584" t="s">
        <v>4</v>
      </c>
      <c r="L584" t="s">
        <v>186</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661</v>
      </c>
      <c r="B585" t="s">
        <v>39</v>
      </c>
      <c r="C585">
        <v>1</v>
      </c>
      <c r="D585">
        <v>28.5</v>
      </c>
      <c r="E585">
        <v>28.5</v>
      </c>
      <c r="F585" s="1">
        <v>45683</v>
      </c>
      <c r="G585" s="1">
        <v>45683</v>
      </c>
      <c r="H585" t="s">
        <v>8</v>
      </c>
      <c r="I585" t="s">
        <v>3</v>
      </c>
      <c r="J585">
        <v>3</v>
      </c>
      <c r="K585" t="s">
        <v>4</v>
      </c>
      <c r="L585" t="s">
        <v>57</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662</v>
      </c>
      <c r="B586" t="s">
        <v>120</v>
      </c>
      <c r="C586">
        <v>1</v>
      </c>
      <c r="D586">
        <v>47.8</v>
      </c>
      <c r="E586">
        <v>47.8</v>
      </c>
      <c r="F586" s="1">
        <v>45683</v>
      </c>
      <c r="G586" s="1">
        <v>45685</v>
      </c>
      <c r="H586" t="s">
        <v>12</v>
      </c>
      <c r="I586" t="s">
        <v>3</v>
      </c>
      <c r="J586">
        <v>3</v>
      </c>
      <c r="K586" t="s">
        <v>4</v>
      </c>
      <c r="L586" t="s">
        <v>57</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663</v>
      </c>
      <c r="B587" t="s">
        <v>39</v>
      </c>
      <c r="C587">
        <v>3</v>
      </c>
      <c r="D587">
        <v>42.8</v>
      </c>
      <c r="E587">
        <v>128.39999999999998</v>
      </c>
      <c r="F587" s="1">
        <v>45683</v>
      </c>
      <c r="G587" s="1">
        <v>45686</v>
      </c>
      <c r="H587" t="s">
        <v>12</v>
      </c>
      <c r="I587" t="s">
        <v>55</v>
      </c>
      <c r="J587">
        <v>3</v>
      </c>
      <c r="K587" t="s">
        <v>4</v>
      </c>
      <c r="L587" t="s">
        <v>62</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664</v>
      </c>
      <c r="B588" t="s">
        <v>24</v>
      </c>
      <c r="C588">
        <v>5</v>
      </c>
      <c r="D588">
        <v>46.8</v>
      </c>
      <c r="E588">
        <v>234</v>
      </c>
      <c r="F588" s="1">
        <v>45683</v>
      </c>
      <c r="G588" s="1">
        <v>45688</v>
      </c>
      <c r="H588" t="s">
        <v>12</v>
      </c>
      <c r="I588" t="s">
        <v>20</v>
      </c>
      <c r="J588">
        <v>5</v>
      </c>
      <c r="K588" t="s">
        <v>4</v>
      </c>
      <c r="L588" t="s">
        <v>62</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665</v>
      </c>
      <c r="B589" t="s">
        <v>7</v>
      </c>
      <c r="C589">
        <v>10</v>
      </c>
      <c r="D589">
        <v>64.099999999999994</v>
      </c>
      <c r="E589">
        <v>641</v>
      </c>
      <c r="F589" s="1">
        <v>45683</v>
      </c>
      <c r="G589" s="1">
        <v>45684</v>
      </c>
      <c r="H589" t="s">
        <v>8</v>
      </c>
      <c r="I589" t="s">
        <v>20</v>
      </c>
      <c r="J589">
        <v>4</v>
      </c>
      <c r="K589" t="s">
        <v>4</v>
      </c>
      <c r="L589" t="s">
        <v>62</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666</v>
      </c>
      <c r="B590" t="s">
        <v>11</v>
      </c>
      <c r="C590">
        <v>1</v>
      </c>
      <c r="D590">
        <v>89.1</v>
      </c>
      <c r="E590">
        <v>89.1</v>
      </c>
      <c r="F590" s="1">
        <v>45683</v>
      </c>
      <c r="G590" s="1">
        <v>45684</v>
      </c>
      <c r="H590" t="s">
        <v>12</v>
      </c>
      <c r="I590" t="s">
        <v>3</v>
      </c>
      <c r="J590">
        <v>3</v>
      </c>
      <c r="K590" t="s">
        <v>4</v>
      </c>
      <c r="L590" t="s">
        <v>98</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667</v>
      </c>
      <c r="B591" t="s">
        <v>11</v>
      </c>
      <c r="C591">
        <v>3</v>
      </c>
      <c r="D591">
        <v>83.1</v>
      </c>
      <c r="E591">
        <v>249.29999999999998</v>
      </c>
      <c r="F591" s="1">
        <v>45683</v>
      </c>
      <c r="G591" s="1">
        <v>45684</v>
      </c>
      <c r="H591" t="s">
        <v>12</v>
      </c>
      <c r="I591" t="s">
        <v>25</v>
      </c>
      <c r="J591">
        <v>3</v>
      </c>
      <c r="K591" t="s">
        <v>4</v>
      </c>
      <c r="L591" t="s">
        <v>67</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668</v>
      </c>
      <c r="B592" t="s">
        <v>29</v>
      </c>
      <c r="C592">
        <v>3</v>
      </c>
      <c r="D592">
        <v>40.9</v>
      </c>
      <c r="E592">
        <v>122.69999999999999</v>
      </c>
      <c r="F592" s="1">
        <v>45683</v>
      </c>
      <c r="G592" s="1">
        <v>45684</v>
      </c>
      <c r="H592" t="s">
        <v>8</v>
      </c>
      <c r="I592" t="s">
        <v>3</v>
      </c>
      <c r="J592">
        <v>4</v>
      </c>
      <c r="K592" t="s">
        <v>4</v>
      </c>
      <c r="L592" t="s">
        <v>9</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669</v>
      </c>
      <c r="B593" t="s">
        <v>11</v>
      </c>
      <c r="C593">
        <v>2</v>
      </c>
      <c r="D593">
        <v>125.7</v>
      </c>
      <c r="E593">
        <v>251.4</v>
      </c>
      <c r="F593" s="1">
        <v>45683</v>
      </c>
      <c r="G593" s="1">
        <v>45684</v>
      </c>
      <c r="H593" t="s">
        <v>12</v>
      </c>
      <c r="I593" t="s">
        <v>36</v>
      </c>
      <c r="J593">
        <v>4</v>
      </c>
      <c r="K593" t="s">
        <v>4</v>
      </c>
      <c r="L593" t="s">
        <v>13</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670</v>
      </c>
      <c r="B594" t="s">
        <v>15</v>
      </c>
      <c r="C594">
        <v>2</v>
      </c>
      <c r="D594">
        <v>30.9</v>
      </c>
      <c r="E594">
        <v>61.8</v>
      </c>
      <c r="F594" s="1">
        <v>45683</v>
      </c>
      <c r="G594" s="1">
        <v>45683</v>
      </c>
      <c r="H594" t="s">
        <v>12</v>
      </c>
      <c r="I594" t="s">
        <v>25</v>
      </c>
      <c r="J594">
        <v>5</v>
      </c>
      <c r="K594" t="s">
        <v>4</v>
      </c>
      <c r="L594" t="s">
        <v>132</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671</v>
      </c>
      <c r="B595" t="s">
        <v>29</v>
      </c>
      <c r="C595">
        <v>2</v>
      </c>
      <c r="D595">
        <v>18.3</v>
      </c>
      <c r="E595">
        <v>36.6</v>
      </c>
      <c r="F595" s="1">
        <v>45683</v>
      </c>
      <c r="G595" s="1">
        <v>45684</v>
      </c>
      <c r="H595" t="s">
        <v>12</v>
      </c>
      <c r="I595" t="s">
        <v>20</v>
      </c>
      <c r="J595">
        <v>4</v>
      </c>
      <c r="K595" t="s">
        <v>4</v>
      </c>
      <c r="L595" t="s">
        <v>18</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672</v>
      </c>
      <c r="B596" t="s">
        <v>17</v>
      </c>
      <c r="C596">
        <v>2</v>
      </c>
      <c r="D596">
        <v>56.5</v>
      </c>
      <c r="E596">
        <v>113</v>
      </c>
      <c r="F596" s="1">
        <v>45683</v>
      </c>
      <c r="G596" s="1">
        <v>45687</v>
      </c>
      <c r="H596" t="s">
        <v>8</v>
      </c>
      <c r="I596" t="s">
        <v>25</v>
      </c>
      <c r="J596">
        <v>5</v>
      </c>
      <c r="K596" t="s">
        <v>4</v>
      </c>
      <c r="L596" t="s">
        <v>18</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673</v>
      </c>
      <c r="B597" t="s">
        <v>39</v>
      </c>
      <c r="C597">
        <v>7</v>
      </c>
      <c r="D597">
        <v>29.9</v>
      </c>
      <c r="E597">
        <v>209.29999999999998</v>
      </c>
      <c r="F597" s="1">
        <v>45683</v>
      </c>
      <c r="G597" s="1">
        <v>45685</v>
      </c>
      <c r="H597" t="s">
        <v>8</v>
      </c>
      <c r="I597" t="s">
        <v>55</v>
      </c>
      <c r="J597">
        <v>5</v>
      </c>
      <c r="K597" t="s">
        <v>4</v>
      </c>
      <c r="L597" t="s">
        <v>18</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674</v>
      </c>
      <c r="B598" t="s">
        <v>22</v>
      </c>
      <c r="C598">
        <v>2</v>
      </c>
      <c r="D598">
        <v>50.4</v>
      </c>
      <c r="E598">
        <v>100.8</v>
      </c>
      <c r="F598" s="1">
        <v>45683</v>
      </c>
      <c r="G598" s="1">
        <v>45684</v>
      </c>
      <c r="H598" t="s">
        <v>12</v>
      </c>
      <c r="I598" t="s">
        <v>25</v>
      </c>
      <c r="J598">
        <v>4</v>
      </c>
      <c r="K598" t="s">
        <v>4</v>
      </c>
      <c r="L598" t="s">
        <v>18</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675</v>
      </c>
      <c r="B599" t="s">
        <v>11</v>
      </c>
      <c r="C599">
        <v>1</v>
      </c>
      <c r="D599">
        <v>85.8</v>
      </c>
      <c r="E599">
        <v>85.8</v>
      </c>
      <c r="F599" s="1">
        <v>45683</v>
      </c>
      <c r="G599" s="1">
        <v>45683</v>
      </c>
      <c r="H599" t="s">
        <v>12</v>
      </c>
      <c r="I599" t="s">
        <v>25</v>
      </c>
      <c r="J599">
        <v>5</v>
      </c>
      <c r="K599" t="s">
        <v>4</v>
      </c>
      <c r="L599" t="s">
        <v>18</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676</v>
      </c>
      <c r="B600" t="s">
        <v>17</v>
      </c>
      <c r="C600">
        <v>16</v>
      </c>
      <c r="D600">
        <v>66.599999999999994</v>
      </c>
      <c r="E600">
        <v>1065.5999999999999</v>
      </c>
      <c r="F600" s="1">
        <v>45683</v>
      </c>
      <c r="G600" s="1">
        <v>45685</v>
      </c>
      <c r="H600" t="s">
        <v>8</v>
      </c>
      <c r="I600" t="s">
        <v>20</v>
      </c>
      <c r="J600">
        <v>4</v>
      </c>
      <c r="K600" t="s">
        <v>4</v>
      </c>
      <c r="L600" t="s">
        <v>18</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677</v>
      </c>
      <c r="B601" t="s">
        <v>24</v>
      </c>
      <c r="C601">
        <v>4</v>
      </c>
      <c r="D601">
        <v>70.3</v>
      </c>
      <c r="E601">
        <v>281.2</v>
      </c>
      <c r="F601" s="1">
        <v>45683</v>
      </c>
      <c r="G601" s="1">
        <v>45684</v>
      </c>
      <c r="H601" t="s">
        <v>12</v>
      </c>
      <c r="I601" t="s">
        <v>3</v>
      </c>
      <c r="J601">
        <v>3</v>
      </c>
      <c r="K601" t="s">
        <v>4</v>
      </c>
      <c r="L601" t="s">
        <v>18</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678</v>
      </c>
      <c r="B602" t="s">
        <v>29</v>
      </c>
      <c r="C602">
        <v>4</v>
      </c>
      <c r="D602">
        <v>31</v>
      </c>
      <c r="E602">
        <v>124</v>
      </c>
      <c r="F602" s="1">
        <v>45683</v>
      </c>
      <c r="G602" s="1">
        <v>45686</v>
      </c>
      <c r="H602" t="s">
        <v>8</v>
      </c>
      <c r="I602" t="s">
        <v>3</v>
      </c>
      <c r="J602">
        <v>5</v>
      </c>
      <c r="K602" t="s">
        <v>4</v>
      </c>
      <c r="L602" t="s">
        <v>18</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679</v>
      </c>
      <c r="B603" t="s">
        <v>27</v>
      </c>
      <c r="C603">
        <v>6</v>
      </c>
      <c r="D603">
        <v>81.599999999999994</v>
      </c>
      <c r="E603">
        <v>489.59999999999997</v>
      </c>
      <c r="F603" s="1">
        <v>45683</v>
      </c>
      <c r="G603" s="1">
        <v>45684</v>
      </c>
      <c r="H603" t="s">
        <v>12</v>
      </c>
      <c r="I603" t="s">
        <v>20</v>
      </c>
      <c r="J603">
        <v>3</v>
      </c>
      <c r="K603" t="s">
        <v>4</v>
      </c>
      <c r="L603" t="s">
        <v>349</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680</v>
      </c>
      <c r="B604" t="s">
        <v>7</v>
      </c>
      <c r="C604">
        <v>25</v>
      </c>
      <c r="D604">
        <v>58.3</v>
      </c>
      <c r="E604">
        <v>1457.5</v>
      </c>
      <c r="F604" s="1">
        <v>45683</v>
      </c>
      <c r="G604" s="1">
        <v>45684</v>
      </c>
      <c r="H604" t="s">
        <v>12</v>
      </c>
      <c r="I604" t="s">
        <v>3</v>
      </c>
      <c r="J604">
        <v>4</v>
      </c>
      <c r="K604" t="s">
        <v>4</v>
      </c>
      <c r="L604" t="s">
        <v>83</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681</v>
      </c>
      <c r="B605" t="s">
        <v>7</v>
      </c>
      <c r="C605">
        <v>4</v>
      </c>
      <c r="D605">
        <v>35.1</v>
      </c>
      <c r="E605">
        <v>140.4</v>
      </c>
      <c r="F605" s="1">
        <v>45683</v>
      </c>
      <c r="G605" s="1">
        <v>45685</v>
      </c>
      <c r="H605" t="s">
        <v>8</v>
      </c>
      <c r="I605" t="s">
        <v>3</v>
      </c>
      <c r="J605">
        <v>5</v>
      </c>
      <c r="K605" t="s">
        <v>4</v>
      </c>
      <c r="L605" t="s">
        <v>47</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682</v>
      </c>
      <c r="B606" t="s">
        <v>11</v>
      </c>
      <c r="C606">
        <v>1</v>
      </c>
      <c r="D606">
        <v>80.2</v>
      </c>
      <c r="E606">
        <v>80.2</v>
      </c>
      <c r="F606" s="1">
        <v>45683</v>
      </c>
      <c r="G606" s="1">
        <v>45684</v>
      </c>
      <c r="H606" t="s">
        <v>8</v>
      </c>
      <c r="I606" t="s">
        <v>36</v>
      </c>
      <c r="J606">
        <v>5</v>
      </c>
      <c r="K606" t="s">
        <v>4</v>
      </c>
      <c r="L606" t="s">
        <v>47</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683</v>
      </c>
      <c r="B607" t="s">
        <v>66</v>
      </c>
      <c r="C607">
        <v>3</v>
      </c>
      <c r="D607">
        <v>39.200000000000003</v>
      </c>
      <c r="E607">
        <v>117.60000000000001</v>
      </c>
      <c r="F607" s="1">
        <v>45683</v>
      </c>
      <c r="G607" s="1">
        <v>45685</v>
      </c>
      <c r="H607" t="s">
        <v>12</v>
      </c>
      <c r="I607" t="s">
        <v>20</v>
      </c>
      <c r="J607">
        <v>4</v>
      </c>
      <c r="K607" t="s">
        <v>4</v>
      </c>
      <c r="L607" t="s">
        <v>57</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684</v>
      </c>
      <c r="B608" t="s">
        <v>1</v>
      </c>
      <c r="C608">
        <v>2</v>
      </c>
      <c r="D608">
        <v>15.4</v>
      </c>
      <c r="E608">
        <v>30.8</v>
      </c>
      <c r="F608" s="1">
        <v>45683</v>
      </c>
      <c r="G608" s="1">
        <v>45683</v>
      </c>
      <c r="H608" t="s">
        <v>12</v>
      </c>
      <c r="I608" t="s">
        <v>36</v>
      </c>
      <c r="J608">
        <v>4</v>
      </c>
      <c r="K608" t="s">
        <v>4</v>
      </c>
      <c r="L608" t="s">
        <v>685</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686</v>
      </c>
      <c r="B609" t="s">
        <v>15</v>
      </c>
      <c r="C609">
        <v>3</v>
      </c>
      <c r="D609">
        <v>65.400000000000006</v>
      </c>
      <c r="E609">
        <v>196.20000000000002</v>
      </c>
      <c r="F609" s="1">
        <v>45683</v>
      </c>
      <c r="G609" s="1">
        <v>45686</v>
      </c>
      <c r="H609" t="s">
        <v>8</v>
      </c>
      <c r="I609" t="s">
        <v>36</v>
      </c>
      <c r="J609">
        <v>4</v>
      </c>
      <c r="K609" t="s">
        <v>4</v>
      </c>
      <c r="L609" t="s">
        <v>93</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687</v>
      </c>
      <c r="B610" t="s">
        <v>7</v>
      </c>
      <c r="C610">
        <v>8</v>
      </c>
      <c r="D610">
        <v>63.2</v>
      </c>
      <c r="E610">
        <v>505.6</v>
      </c>
      <c r="F610" s="1">
        <v>45683</v>
      </c>
      <c r="G610" s="1">
        <v>45685</v>
      </c>
      <c r="H610" t="s">
        <v>12</v>
      </c>
      <c r="I610" t="s">
        <v>20</v>
      </c>
      <c r="J610">
        <v>4</v>
      </c>
      <c r="K610" t="s">
        <v>4</v>
      </c>
      <c r="L610" t="s">
        <v>95</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688</v>
      </c>
      <c r="B611" t="s">
        <v>7</v>
      </c>
      <c r="C611">
        <v>6</v>
      </c>
      <c r="D611">
        <v>35.700000000000003</v>
      </c>
      <c r="E611">
        <v>214.20000000000002</v>
      </c>
      <c r="F611" s="1">
        <v>45683</v>
      </c>
      <c r="G611" s="1">
        <v>45687</v>
      </c>
      <c r="H611" t="s">
        <v>12</v>
      </c>
      <c r="I611" t="s">
        <v>55</v>
      </c>
      <c r="J611">
        <v>3</v>
      </c>
      <c r="K611" t="s">
        <v>4</v>
      </c>
      <c r="L611" t="s">
        <v>95</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689</v>
      </c>
      <c r="B612" t="s">
        <v>1</v>
      </c>
      <c r="C612">
        <v>20</v>
      </c>
      <c r="D612">
        <v>26.2</v>
      </c>
      <c r="E612">
        <v>524</v>
      </c>
      <c r="F612" s="1">
        <v>45683</v>
      </c>
      <c r="G612" s="1">
        <v>45684</v>
      </c>
      <c r="H612" t="s">
        <v>12</v>
      </c>
      <c r="I612" t="s">
        <v>36</v>
      </c>
      <c r="J612">
        <v>4</v>
      </c>
      <c r="K612" t="s">
        <v>4</v>
      </c>
      <c r="L612" t="s">
        <v>100</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690</v>
      </c>
      <c r="B613" t="s">
        <v>27</v>
      </c>
      <c r="C613">
        <v>2</v>
      </c>
      <c r="D613">
        <v>31</v>
      </c>
      <c r="E613">
        <v>62</v>
      </c>
      <c r="F613" s="1">
        <v>45683</v>
      </c>
      <c r="G613" s="1">
        <v>45684</v>
      </c>
      <c r="H613" t="s">
        <v>12</v>
      </c>
      <c r="I613" t="s">
        <v>3</v>
      </c>
      <c r="J613">
        <v>5</v>
      </c>
      <c r="K613" t="s">
        <v>4</v>
      </c>
      <c r="L613" t="s">
        <v>9</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691</v>
      </c>
      <c r="B614" t="s">
        <v>29</v>
      </c>
      <c r="C614">
        <v>4</v>
      </c>
      <c r="D614">
        <v>37.700000000000003</v>
      </c>
      <c r="E614">
        <v>150.80000000000001</v>
      </c>
      <c r="F614" s="1">
        <v>45683</v>
      </c>
      <c r="G614" s="1">
        <v>45684</v>
      </c>
      <c r="H614" t="s">
        <v>12</v>
      </c>
      <c r="I614" t="s">
        <v>20</v>
      </c>
      <c r="J614">
        <v>4</v>
      </c>
      <c r="K614" t="s">
        <v>4</v>
      </c>
      <c r="L614" t="s">
        <v>132</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692</v>
      </c>
      <c r="B615" t="s">
        <v>39</v>
      </c>
      <c r="C615">
        <v>34</v>
      </c>
      <c r="D615">
        <v>43.6</v>
      </c>
      <c r="E615">
        <v>1482.4</v>
      </c>
      <c r="F615" s="1">
        <v>45683</v>
      </c>
      <c r="G615" s="1">
        <v>45685</v>
      </c>
      <c r="H615" t="s">
        <v>12</v>
      </c>
      <c r="I615" t="s">
        <v>55</v>
      </c>
      <c r="J615">
        <v>3</v>
      </c>
      <c r="K615" t="s">
        <v>4</v>
      </c>
      <c r="L615" t="s">
        <v>18</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693</v>
      </c>
      <c r="B616" t="s">
        <v>31</v>
      </c>
      <c r="C616">
        <v>4</v>
      </c>
      <c r="D616">
        <v>26.5</v>
      </c>
      <c r="E616">
        <v>106</v>
      </c>
      <c r="F616" s="1">
        <v>45683</v>
      </c>
      <c r="G616" s="1">
        <v>45685</v>
      </c>
      <c r="H616" t="s">
        <v>8</v>
      </c>
      <c r="I616" t="s">
        <v>3</v>
      </c>
      <c r="J616">
        <v>2</v>
      </c>
      <c r="K616" t="s">
        <v>4</v>
      </c>
      <c r="L616" t="s">
        <v>18</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694</v>
      </c>
      <c r="B617" t="s">
        <v>1</v>
      </c>
      <c r="C617">
        <v>2</v>
      </c>
      <c r="D617">
        <v>34.6</v>
      </c>
      <c r="E617">
        <v>69.2</v>
      </c>
      <c r="F617" s="1">
        <v>45683</v>
      </c>
      <c r="G617" s="1">
        <v>45684</v>
      </c>
      <c r="H617" t="s">
        <v>8</v>
      </c>
      <c r="I617" t="s">
        <v>55</v>
      </c>
      <c r="J617">
        <v>3</v>
      </c>
      <c r="K617" t="s">
        <v>4</v>
      </c>
      <c r="L617" t="s">
        <v>18</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695</v>
      </c>
      <c r="B618" t="s">
        <v>29</v>
      </c>
      <c r="C618">
        <v>2</v>
      </c>
      <c r="D618">
        <v>58.2</v>
      </c>
      <c r="E618">
        <v>116.4</v>
      </c>
      <c r="F618" s="1">
        <v>45683</v>
      </c>
      <c r="G618" s="1">
        <v>45684</v>
      </c>
      <c r="H618" t="s">
        <v>8</v>
      </c>
      <c r="I618" t="s">
        <v>25</v>
      </c>
      <c r="J618">
        <v>5</v>
      </c>
      <c r="K618" t="s">
        <v>4</v>
      </c>
      <c r="L618" t="s">
        <v>18</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696</v>
      </c>
      <c r="B619" t="s">
        <v>27</v>
      </c>
      <c r="C619">
        <v>1</v>
      </c>
      <c r="D619">
        <v>30.2</v>
      </c>
      <c r="E619">
        <v>30.2</v>
      </c>
      <c r="F619" s="1">
        <v>45684</v>
      </c>
      <c r="G619" s="1">
        <v>45685</v>
      </c>
      <c r="H619" t="s">
        <v>12</v>
      </c>
      <c r="I619" t="s">
        <v>25</v>
      </c>
      <c r="J619">
        <v>3</v>
      </c>
      <c r="K619" t="s">
        <v>4</v>
      </c>
      <c r="L619" t="s">
        <v>18</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697</v>
      </c>
      <c r="B620" t="s">
        <v>7</v>
      </c>
      <c r="C620">
        <v>10</v>
      </c>
      <c r="D620">
        <v>53.2</v>
      </c>
      <c r="E620">
        <v>532</v>
      </c>
      <c r="F620" s="1">
        <v>45684</v>
      </c>
      <c r="G620" s="1">
        <v>45685</v>
      </c>
      <c r="H620" t="s">
        <v>8</v>
      </c>
      <c r="I620" t="s">
        <v>3</v>
      </c>
      <c r="J620">
        <v>5</v>
      </c>
      <c r="K620" t="s">
        <v>4</v>
      </c>
      <c r="L620" t="s">
        <v>37</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698</v>
      </c>
      <c r="B621" t="s">
        <v>54</v>
      </c>
      <c r="C621">
        <v>6</v>
      </c>
      <c r="D621">
        <v>51.1</v>
      </c>
      <c r="E621">
        <v>306.60000000000002</v>
      </c>
      <c r="F621" s="1">
        <v>45684</v>
      </c>
      <c r="G621" s="1">
        <v>45684</v>
      </c>
      <c r="H621" t="s">
        <v>8</v>
      </c>
      <c r="I621" t="s">
        <v>20</v>
      </c>
      <c r="J621">
        <v>5</v>
      </c>
      <c r="K621" t="s">
        <v>4</v>
      </c>
      <c r="L621" t="s">
        <v>37</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699</v>
      </c>
      <c r="B622" t="s">
        <v>7</v>
      </c>
      <c r="C622">
        <v>1</v>
      </c>
      <c r="D622">
        <v>105.4</v>
      </c>
      <c r="E622">
        <v>105.4</v>
      </c>
      <c r="F622" s="1">
        <v>45684</v>
      </c>
      <c r="G622" s="1">
        <v>45688</v>
      </c>
      <c r="H622" t="s">
        <v>12</v>
      </c>
      <c r="I622" t="s">
        <v>20</v>
      </c>
      <c r="J622">
        <v>5</v>
      </c>
      <c r="K622" t="s">
        <v>4</v>
      </c>
      <c r="L622" t="s">
        <v>143</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700</v>
      </c>
      <c r="B623" t="s">
        <v>27</v>
      </c>
      <c r="C623">
        <v>1</v>
      </c>
      <c r="D623">
        <v>57.7</v>
      </c>
      <c r="E623">
        <v>57.7</v>
      </c>
      <c r="F623" s="1">
        <v>45684</v>
      </c>
      <c r="G623" s="1">
        <v>45684</v>
      </c>
      <c r="H623" t="s">
        <v>8</v>
      </c>
      <c r="I623" t="s">
        <v>3</v>
      </c>
      <c r="J623">
        <v>2</v>
      </c>
      <c r="K623" t="s">
        <v>4</v>
      </c>
      <c r="L623" t="s">
        <v>47</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701</v>
      </c>
      <c r="B624" t="s">
        <v>108</v>
      </c>
      <c r="C624">
        <v>2</v>
      </c>
      <c r="D624">
        <v>72.400000000000006</v>
      </c>
      <c r="E624">
        <v>144.80000000000001</v>
      </c>
      <c r="F624" s="1">
        <v>45684</v>
      </c>
      <c r="G624" s="1">
        <v>45689</v>
      </c>
      <c r="H624" t="s">
        <v>12</v>
      </c>
      <c r="I624" t="s">
        <v>3</v>
      </c>
      <c r="J624">
        <v>4</v>
      </c>
      <c r="K624" t="s">
        <v>4</v>
      </c>
      <c r="L624" t="s">
        <v>88</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702</v>
      </c>
      <c r="B625" t="s">
        <v>24</v>
      </c>
      <c r="C625">
        <v>2</v>
      </c>
      <c r="D625">
        <v>62.5</v>
      </c>
      <c r="E625">
        <v>125</v>
      </c>
      <c r="F625" s="1">
        <v>45684</v>
      </c>
      <c r="G625" s="1">
        <v>45685</v>
      </c>
      <c r="H625" t="s">
        <v>2</v>
      </c>
      <c r="I625" t="s">
        <v>3</v>
      </c>
      <c r="J625">
        <v>5</v>
      </c>
      <c r="K625" t="s">
        <v>4</v>
      </c>
      <c r="L625" t="s">
        <v>62</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703</v>
      </c>
      <c r="B626" t="s">
        <v>1</v>
      </c>
      <c r="C626">
        <v>22</v>
      </c>
      <c r="D626">
        <v>11.6</v>
      </c>
      <c r="E626">
        <v>255.2</v>
      </c>
      <c r="F626" s="1">
        <v>45684</v>
      </c>
      <c r="G626" s="1">
        <v>45686</v>
      </c>
      <c r="H626" t="s">
        <v>12</v>
      </c>
      <c r="I626" t="s">
        <v>36</v>
      </c>
      <c r="J626">
        <v>5</v>
      </c>
      <c r="K626" t="s">
        <v>4</v>
      </c>
      <c r="L626" t="s">
        <v>93</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704</v>
      </c>
      <c r="B627" t="s">
        <v>39</v>
      </c>
      <c r="C627">
        <v>10</v>
      </c>
      <c r="D627">
        <v>39.6</v>
      </c>
      <c r="E627">
        <v>396</v>
      </c>
      <c r="F627" s="1">
        <v>45684</v>
      </c>
      <c r="G627" s="1">
        <v>45686</v>
      </c>
      <c r="H627" t="s">
        <v>12</v>
      </c>
      <c r="I627" t="s">
        <v>25</v>
      </c>
      <c r="J627">
        <v>5</v>
      </c>
      <c r="K627" t="s">
        <v>4</v>
      </c>
      <c r="L627" t="s">
        <v>93</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705</v>
      </c>
      <c r="B628" t="s">
        <v>29</v>
      </c>
      <c r="C628">
        <v>2</v>
      </c>
      <c r="D628">
        <v>40.1</v>
      </c>
      <c r="E628">
        <v>80.2</v>
      </c>
      <c r="F628" s="1">
        <v>45684</v>
      </c>
      <c r="G628" s="1">
        <v>45685</v>
      </c>
      <c r="H628" t="s">
        <v>12</v>
      </c>
      <c r="I628" t="s">
        <v>25</v>
      </c>
      <c r="J628">
        <v>4</v>
      </c>
      <c r="K628" t="s">
        <v>4</v>
      </c>
      <c r="L628" t="s">
        <v>93</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706</v>
      </c>
      <c r="B629" t="s">
        <v>29</v>
      </c>
      <c r="C629">
        <v>3</v>
      </c>
      <c r="D629">
        <v>18.600000000000001</v>
      </c>
      <c r="E629">
        <v>55.800000000000004</v>
      </c>
      <c r="F629" s="1">
        <v>45684</v>
      </c>
      <c r="G629" s="1">
        <v>45685</v>
      </c>
      <c r="H629" t="s">
        <v>12</v>
      </c>
      <c r="I629" t="s">
        <v>25</v>
      </c>
      <c r="J629">
        <v>4</v>
      </c>
      <c r="K629" t="s">
        <v>4</v>
      </c>
      <c r="L629" t="s">
        <v>100</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707</v>
      </c>
      <c r="B630" t="s">
        <v>17</v>
      </c>
      <c r="C630">
        <v>1</v>
      </c>
      <c r="D630">
        <v>58.8</v>
      </c>
      <c r="E630">
        <v>58.8</v>
      </c>
      <c r="F630" s="1">
        <v>45684</v>
      </c>
      <c r="G630" s="1">
        <v>45686</v>
      </c>
      <c r="H630" t="s">
        <v>12</v>
      </c>
      <c r="I630" t="s">
        <v>3</v>
      </c>
      <c r="J630">
        <v>3</v>
      </c>
      <c r="K630" t="s">
        <v>4</v>
      </c>
      <c r="L630" t="s">
        <v>100</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708</v>
      </c>
      <c r="B631" t="s">
        <v>29</v>
      </c>
      <c r="C631">
        <v>2</v>
      </c>
      <c r="D631">
        <v>22.1</v>
      </c>
      <c r="E631">
        <v>44.2</v>
      </c>
      <c r="F631" s="1">
        <v>45684</v>
      </c>
      <c r="G631" s="1">
        <v>45687</v>
      </c>
      <c r="H631" t="s">
        <v>8</v>
      </c>
      <c r="I631" t="s">
        <v>20</v>
      </c>
      <c r="J631">
        <v>5</v>
      </c>
      <c r="K631" t="s">
        <v>4</v>
      </c>
      <c r="L631" t="s">
        <v>100</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709</v>
      </c>
      <c r="B632" t="s">
        <v>11</v>
      </c>
      <c r="C632">
        <v>1</v>
      </c>
      <c r="D632">
        <v>114.9</v>
      </c>
      <c r="E632">
        <v>114.9</v>
      </c>
      <c r="F632" s="1">
        <v>45685</v>
      </c>
      <c r="G632" s="1">
        <v>45686</v>
      </c>
      <c r="H632" t="s">
        <v>12</v>
      </c>
      <c r="I632" t="s">
        <v>20</v>
      </c>
      <c r="J632">
        <v>3</v>
      </c>
      <c r="K632" t="s">
        <v>4</v>
      </c>
      <c r="L632" t="s">
        <v>132</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710</v>
      </c>
      <c r="B633" t="s">
        <v>31</v>
      </c>
      <c r="C633">
        <v>5</v>
      </c>
      <c r="D633">
        <v>75.8</v>
      </c>
      <c r="E633">
        <v>379</v>
      </c>
      <c r="F633" s="1">
        <v>45685</v>
      </c>
      <c r="G633" s="1">
        <v>45686</v>
      </c>
      <c r="H633" t="s">
        <v>8</v>
      </c>
      <c r="I633" t="s">
        <v>3</v>
      </c>
      <c r="J633">
        <v>5</v>
      </c>
      <c r="K633" t="s">
        <v>4</v>
      </c>
      <c r="L633" t="s">
        <v>18</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711</v>
      </c>
      <c r="B634" t="s">
        <v>66</v>
      </c>
      <c r="C634">
        <v>5</v>
      </c>
      <c r="D634">
        <v>20.6</v>
      </c>
      <c r="E634">
        <v>103</v>
      </c>
      <c r="F634" s="1">
        <v>45685</v>
      </c>
      <c r="G634" s="1">
        <v>45686</v>
      </c>
      <c r="H634" t="s">
        <v>8</v>
      </c>
      <c r="I634" t="s">
        <v>25</v>
      </c>
      <c r="J634">
        <v>5</v>
      </c>
      <c r="K634" t="s">
        <v>4</v>
      </c>
      <c r="L634" t="s">
        <v>18</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712</v>
      </c>
      <c r="B635" t="s">
        <v>120</v>
      </c>
      <c r="C635">
        <v>3</v>
      </c>
      <c r="D635">
        <v>67.900000000000006</v>
      </c>
      <c r="E635">
        <v>203.70000000000002</v>
      </c>
      <c r="F635" s="1">
        <v>45685</v>
      </c>
      <c r="G635" s="1">
        <v>45686</v>
      </c>
      <c r="H635" t="s">
        <v>12</v>
      </c>
      <c r="I635" t="s">
        <v>20</v>
      </c>
      <c r="J635">
        <v>3</v>
      </c>
      <c r="K635" t="s">
        <v>4</v>
      </c>
      <c r="L635" t="s">
        <v>18</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713</v>
      </c>
      <c r="B636" t="s">
        <v>1</v>
      </c>
      <c r="C636">
        <v>5</v>
      </c>
      <c r="D636">
        <v>27</v>
      </c>
      <c r="E636">
        <v>135</v>
      </c>
      <c r="F636" s="1">
        <v>45685</v>
      </c>
      <c r="G636" s="1">
        <v>45692</v>
      </c>
      <c r="H636" t="s">
        <v>12</v>
      </c>
      <c r="I636" t="s">
        <v>3</v>
      </c>
      <c r="J636">
        <v>5</v>
      </c>
      <c r="K636" t="s">
        <v>4</v>
      </c>
      <c r="L636" t="s">
        <v>18</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714</v>
      </c>
      <c r="B637" t="s">
        <v>61</v>
      </c>
      <c r="C637">
        <v>1</v>
      </c>
      <c r="D637">
        <v>50.6</v>
      </c>
      <c r="E637">
        <v>50.6</v>
      </c>
      <c r="F637" s="1">
        <v>45685</v>
      </c>
      <c r="G637" s="1">
        <v>45685</v>
      </c>
      <c r="H637" t="s">
        <v>8</v>
      </c>
      <c r="I637" t="s">
        <v>3</v>
      </c>
      <c r="J637">
        <v>3</v>
      </c>
      <c r="K637" t="s">
        <v>4</v>
      </c>
      <c r="L637" t="s">
        <v>18</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715</v>
      </c>
      <c r="B638" t="s">
        <v>17</v>
      </c>
      <c r="C638">
        <v>5</v>
      </c>
      <c r="D638">
        <v>22.1</v>
      </c>
      <c r="E638">
        <v>110.5</v>
      </c>
      <c r="F638" s="1">
        <v>45685</v>
      </c>
      <c r="G638" s="1">
        <v>45690</v>
      </c>
      <c r="H638" t="s">
        <v>8</v>
      </c>
      <c r="I638" t="s">
        <v>3</v>
      </c>
      <c r="J638">
        <v>4</v>
      </c>
      <c r="K638" t="s">
        <v>4</v>
      </c>
      <c r="L638" t="s">
        <v>18</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716</v>
      </c>
      <c r="B639" t="s">
        <v>29</v>
      </c>
      <c r="C639">
        <v>3</v>
      </c>
      <c r="D639">
        <v>42.9</v>
      </c>
      <c r="E639">
        <v>128.69999999999999</v>
      </c>
      <c r="F639" s="1">
        <v>45685</v>
      </c>
      <c r="G639" s="1">
        <v>45687</v>
      </c>
      <c r="H639" t="s">
        <v>12</v>
      </c>
      <c r="I639" t="s">
        <v>3</v>
      </c>
      <c r="J639">
        <v>4</v>
      </c>
      <c r="K639" t="s">
        <v>4</v>
      </c>
      <c r="L639" t="s">
        <v>18</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717</v>
      </c>
      <c r="B640" t="s">
        <v>7</v>
      </c>
      <c r="C640">
        <v>11</v>
      </c>
      <c r="D640">
        <v>62.4</v>
      </c>
      <c r="E640">
        <v>686.4</v>
      </c>
      <c r="F640" s="1">
        <v>45685</v>
      </c>
      <c r="G640" s="1">
        <v>45687</v>
      </c>
      <c r="H640" t="s">
        <v>12</v>
      </c>
      <c r="I640" t="s">
        <v>25</v>
      </c>
      <c r="J640">
        <v>4</v>
      </c>
      <c r="K640" t="s">
        <v>4</v>
      </c>
      <c r="L640" t="s">
        <v>18</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718</v>
      </c>
      <c r="B641" t="s">
        <v>61</v>
      </c>
      <c r="C641">
        <v>9</v>
      </c>
      <c r="D641">
        <v>36.4</v>
      </c>
      <c r="E641">
        <v>327.59999999999997</v>
      </c>
      <c r="F641" s="1">
        <v>45685</v>
      </c>
      <c r="G641" s="1">
        <v>45687</v>
      </c>
      <c r="H641" t="s">
        <v>12</v>
      </c>
      <c r="I641" t="s">
        <v>3</v>
      </c>
      <c r="J641">
        <v>5</v>
      </c>
      <c r="K641" t="s">
        <v>4</v>
      </c>
      <c r="L641" t="s">
        <v>18</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719</v>
      </c>
      <c r="B642" t="s">
        <v>1</v>
      </c>
      <c r="C642">
        <v>2</v>
      </c>
      <c r="D642">
        <v>22.5</v>
      </c>
      <c r="E642">
        <v>45</v>
      </c>
      <c r="F642" s="1">
        <v>45685</v>
      </c>
      <c r="G642" s="1">
        <v>45688</v>
      </c>
      <c r="H642" t="s">
        <v>8</v>
      </c>
      <c r="I642" t="s">
        <v>3</v>
      </c>
      <c r="J642">
        <v>4</v>
      </c>
      <c r="K642" t="s">
        <v>4</v>
      </c>
      <c r="L642" t="s">
        <v>18</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720</v>
      </c>
      <c r="B643" t="s">
        <v>24</v>
      </c>
      <c r="C643">
        <v>4</v>
      </c>
      <c r="D643">
        <v>70.8</v>
      </c>
      <c r="E643">
        <v>283.2</v>
      </c>
      <c r="F643" s="1">
        <v>45685</v>
      </c>
      <c r="G643" s="1">
        <v>45687</v>
      </c>
      <c r="H643" t="s">
        <v>12</v>
      </c>
      <c r="I643" t="s">
        <v>55</v>
      </c>
      <c r="J643">
        <v>4</v>
      </c>
      <c r="K643" t="s">
        <v>4</v>
      </c>
      <c r="L643" t="s">
        <v>18</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721</v>
      </c>
      <c r="B644" t="s">
        <v>24</v>
      </c>
      <c r="C644">
        <v>5</v>
      </c>
      <c r="D644">
        <v>56.6</v>
      </c>
      <c r="E644">
        <v>283</v>
      </c>
      <c r="F644" s="1">
        <v>45685</v>
      </c>
      <c r="G644" s="1">
        <v>45687</v>
      </c>
      <c r="H644" t="s">
        <v>8</v>
      </c>
      <c r="I644" t="s">
        <v>3</v>
      </c>
      <c r="J644">
        <v>3</v>
      </c>
      <c r="K644" t="s">
        <v>4</v>
      </c>
      <c r="L644" t="s">
        <v>34</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722</v>
      </c>
      <c r="B645" t="s">
        <v>24</v>
      </c>
      <c r="C645">
        <v>2</v>
      </c>
      <c r="D645">
        <v>47.9</v>
      </c>
      <c r="E645">
        <v>95.8</v>
      </c>
      <c r="F645" s="1">
        <v>45685</v>
      </c>
      <c r="G645" s="1">
        <v>45686</v>
      </c>
      <c r="H645" t="s">
        <v>12</v>
      </c>
      <c r="I645" t="s">
        <v>3</v>
      </c>
      <c r="J645">
        <v>4</v>
      </c>
      <c r="K645" t="s">
        <v>4</v>
      </c>
      <c r="L645" t="s">
        <v>40</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723</v>
      </c>
      <c r="B646" t="s">
        <v>24</v>
      </c>
      <c r="C646">
        <v>8</v>
      </c>
      <c r="D646">
        <v>78.400000000000006</v>
      </c>
      <c r="E646">
        <v>627.20000000000005</v>
      </c>
      <c r="F646" s="1">
        <v>45685</v>
      </c>
      <c r="G646" s="1">
        <v>45687</v>
      </c>
      <c r="H646" t="s">
        <v>12</v>
      </c>
      <c r="I646" t="s">
        <v>20</v>
      </c>
      <c r="J646">
        <v>4</v>
      </c>
      <c r="K646" t="s">
        <v>4</v>
      </c>
      <c r="L646" t="s">
        <v>40</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724</v>
      </c>
      <c r="B647" t="s">
        <v>11</v>
      </c>
      <c r="C647">
        <v>14</v>
      </c>
      <c r="D647">
        <v>122.1</v>
      </c>
      <c r="E647">
        <v>1709.3999999999999</v>
      </c>
      <c r="F647" s="1">
        <v>45685</v>
      </c>
      <c r="G647" s="1">
        <v>45690</v>
      </c>
      <c r="H647" t="s">
        <v>12</v>
      </c>
      <c r="I647" t="s">
        <v>3</v>
      </c>
      <c r="J647">
        <v>5</v>
      </c>
      <c r="K647" t="s">
        <v>4</v>
      </c>
      <c r="L647" t="s">
        <v>40</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725</v>
      </c>
      <c r="B648" t="s">
        <v>11</v>
      </c>
      <c r="C648">
        <v>2</v>
      </c>
      <c r="D648">
        <v>83.7</v>
      </c>
      <c r="E648">
        <v>167.4</v>
      </c>
      <c r="F648" s="1">
        <v>45686</v>
      </c>
      <c r="G648" s="1">
        <v>45686</v>
      </c>
      <c r="H648" t="s">
        <v>2</v>
      </c>
      <c r="I648" t="s">
        <v>20</v>
      </c>
      <c r="J648">
        <v>5</v>
      </c>
      <c r="K648" t="s">
        <v>4</v>
      </c>
      <c r="L648" t="s">
        <v>44</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726</v>
      </c>
      <c r="B649" t="s">
        <v>15</v>
      </c>
      <c r="C649">
        <v>4</v>
      </c>
      <c r="D649">
        <v>97.9</v>
      </c>
      <c r="E649">
        <v>391.6</v>
      </c>
      <c r="F649" s="1">
        <v>45686</v>
      </c>
      <c r="G649" s="1">
        <v>45690</v>
      </c>
      <c r="H649" t="s">
        <v>12</v>
      </c>
      <c r="I649" t="s">
        <v>36</v>
      </c>
      <c r="J649">
        <v>5</v>
      </c>
      <c r="K649" t="s">
        <v>4</v>
      </c>
      <c r="L649" t="s">
        <v>44</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727</v>
      </c>
      <c r="B650" t="s">
        <v>66</v>
      </c>
      <c r="C650">
        <v>1</v>
      </c>
      <c r="D650">
        <v>15</v>
      </c>
      <c r="E650">
        <v>15</v>
      </c>
      <c r="F650" s="1">
        <v>45686</v>
      </c>
      <c r="G650" s="1">
        <v>45691</v>
      </c>
      <c r="H650" t="s">
        <v>12</v>
      </c>
      <c r="I650" t="s">
        <v>36</v>
      </c>
      <c r="J650">
        <v>4</v>
      </c>
      <c r="K650" t="s">
        <v>4</v>
      </c>
      <c r="L650" t="s">
        <v>47</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728</v>
      </c>
      <c r="B651" t="s">
        <v>54</v>
      </c>
      <c r="C651">
        <v>3</v>
      </c>
      <c r="D651">
        <v>94.6</v>
      </c>
      <c r="E651">
        <v>283.79999999999995</v>
      </c>
      <c r="F651" s="1">
        <v>45686</v>
      </c>
      <c r="G651" s="1">
        <v>45687</v>
      </c>
      <c r="H651" t="s">
        <v>8</v>
      </c>
      <c r="I651" t="s">
        <v>25</v>
      </c>
      <c r="J651">
        <v>3</v>
      </c>
      <c r="K651" t="s">
        <v>4</v>
      </c>
      <c r="L651" t="s">
        <v>47</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729</v>
      </c>
      <c r="B652" t="s">
        <v>1</v>
      </c>
      <c r="C652">
        <v>6</v>
      </c>
      <c r="D652">
        <v>19.7</v>
      </c>
      <c r="E652">
        <v>118.19999999999999</v>
      </c>
      <c r="F652" s="1">
        <v>45686</v>
      </c>
      <c r="G652" s="1">
        <v>45697</v>
      </c>
      <c r="H652" t="s">
        <v>12</v>
      </c>
      <c r="I652" t="s">
        <v>3</v>
      </c>
      <c r="J652">
        <v>5</v>
      </c>
      <c r="K652" t="s">
        <v>4</v>
      </c>
      <c r="L652" t="s">
        <v>47</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730</v>
      </c>
      <c r="B653" t="s">
        <v>27</v>
      </c>
      <c r="C653">
        <v>1</v>
      </c>
      <c r="D653">
        <v>46.7</v>
      </c>
      <c r="E653">
        <v>46.7</v>
      </c>
      <c r="F653" s="1">
        <v>45686</v>
      </c>
      <c r="G653" s="1">
        <v>45689</v>
      </c>
      <c r="H653" t="s">
        <v>12</v>
      </c>
      <c r="I653" t="s">
        <v>25</v>
      </c>
      <c r="J653">
        <v>4</v>
      </c>
      <c r="K653" t="s">
        <v>4</v>
      </c>
      <c r="L653" t="s">
        <v>88</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731</v>
      </c>
      <c r="B654" t="s">
        <v>7</v>
      </c>
      <c r="C654">
        <v>4</v>
      </c>
      <c r="D654">
        <v>43</v>
      </c>
      <c r="E654">
        <v>172</v>
      </c>
      <c r="F654" s="1">
        <v>45686</v>
      </c>
      <c r="G654" s="1">
        <v>45687</v>
      </c>
      <c r="H654" t="s">
        <v>8</v>
      </c>
      <c r="I654" t="s">
        <v>25</v>
      </c>
      <c r="J654">
        <v>5</v>
      </c>
      <c r="K654" t="s">
        <v>4</v>
      </c>
      <c r="L654" t="s">
        <v>88</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732</v>
      </c>
      <c r="B655" t="s">
        <v>24</v>
      </c>
      <c r="C655">
        <v>3</v>
      </c>
      <c r="D655">
        <v>68.2</v>
      </c>
      <c r="E655">
        <v>204.60000000000002</v>
      </c>
      <c r="F655" s="1">
        <v>45686</v>
      </c>
      <c r="G655" s="1">
        <v>45692</v>
      </c>
      <c r="H655" t="s">
        <v>12</v>
      </c>
      <c r="I655" t="s">
        <v>3</v>
      </c>
      <c r="J655">
        <v>4</v>
      </c>
      <c r="K655" t="s">
        <v>4</v>
      </c>
      <c r="L655" t="s">
        <v>57</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733</v>
      </c>
      <c r="B656" t="s">
        <v>39</v>
      </c>
      <c r="C656">
        <v>10</v>
      </c>
      <c r="D656">
        <v>24.3</v>
      </c>
      <c r="E656">
        <v>243</v>
      </c>
      <c r="F656" s="1">
        <v>45686</v>
      </c>
      <c r="G656" s="1">
        <v>45687</v>
      </c>
      <c r="H656" t="s">
        <v>8</v>
      </c>
      <c r="I656" t="s">
        <v>3</v>
      </c>
      <c r="J656">
        <v>5</v>
      </c>
      <c r="K656" t="s">
        <v>4</v>
      </c>
      <c r="L656" t="s">
        <v>59</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734</v>
      </c>
      <c r="B657" t="s">
        <v>27</v>
      </c>
      <c r="C657">
        <v>2</v>
      </c>
      <c r="D657">
        <v>86.8</v>
      </c>
      <c r="E657">
        <v>173.6</v>
      </c>
      <c r="F657" s="1">
        <v>45686</v>
      </c>
      <c r="G657" s="1">
        <v>45690</v>
      </c>
      <c r="H657" t="s">
        <v>12</v>
      </c>
      <c r="I657" t="s">
        <v>55</v>
      </c>
      <c r="J657">
        <v>5</v>
      </c>
      <c r="K657" t="s">
        <v>4</v>
      </c>
      <c r="L657" t="s">
        <v>62</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735</v>
      </c>
      <c r="B658" t="s">
        <v>1</v>
      </c>
      <c r="C658">
        <v>2</v>
      </c>
      <c r="D658">
        <v>15.8</v>
      </c>
      <c r="E658">
        <v>31.6</v>
      </c>
      <c r="F658" s="1">
        <v>45686</v>
      </c>
      <c r="G658" s="1">
        <v>45688</v>
      </c>
      <c r="H658" t="s">
        <v>8</v>
      </c>
      <c r="I658" t="s">
        <v>20</v>
      </c>
      <c r="J658">
        <v>4</v>
      </c>
      <c r="K658" t="s">
        <v>4</v>
      </c>
      <c r="L658" t="s">
        <v>62</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736</v>
      </c>
      <c r="B659" t="s">
        <v>11</v>
      </c>
      <c r="C659">
        <v>4</v>
      </c>
      <c r="D659">
        <v>61.6</v>
      </c>
      <c r="E659">
        <v>246.4</v>
      </c>
      <c r="F659" s="1">
        <v>45686</v>
      </c>
      <c r="G659" s="1">
        <v>45687</v>
      </c>
      <c r="H659" t="s">
        <v>8</v>
      </c>
      <c r="I659" t="s">
        <v>25</v>
      </c>
      <c r="J659">
        <v>4</v>
      </c>
      <c r="K659" t="s">
        <v>4</v>
      </c>
      <c r="L659" t="s">
        <v>62</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737</v>
      </c>
      <c r="B660" t="s">
        <v>24</v>
      </c>
      <c r="C660">
        <v>3</v>
      </c>
      <c r="D660">
        <v>48.7</v>
      </c>
      <c r="E660">
        <v>146.10000000000002</v>
      </c>
      <c r="F660" s="1">
        <v>45686</v>
      </c>
      <c r="G660" s="1">
        <v>45692</v>
      </c>
      <c r="H660" t="s">
        <v>12</v>
      </c>
      <c r="I660" t="s">
        <v>20</v>
      </c>
      <c r="J660">
        <v>5</v>
      </c>
      <c r="K660" t="s">
        <v>4</v>
      </c>
      <c r="L660" t="s">
        <v>593</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738</v>
      </c>
      <c r="B661" t="s">
        <v>29</v>
      </c>
      <c r="C661">
        <v>4</v>
      </c>
      <c r="D661">
        <v>24.3</v>
      </c>
      <c r="E661">
        <v>97.2</v>
      </c>
      <c r="F661" s="1">
        <v>45686</v>
      </c>
      <c r="G661" s="1">
        <v>45688</v>
      </c>
      <c r="H661" t="s">
        <v>12</v>
      </c>
      <c r="I661" t="s">
        <v>20</v>
      </c>
      <c r="J661">
        <v>5</v>
      </c>
      <c r="K661" t="s">
        <v>4</v>
      </c>
      <c r="L661" t="s">
        <v>100</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739</v>
      </c>
      <c r="B662" t="s">
        <v>11</v>
      </c>
      <c r="C662">
        <v>2</v>
      </c>
      <c r="D662">
        <v>130.69999999999999</v>
      </c>
      <c r="E662">
        <v>261.39999999999998</v>
      </c>
      <c r="F662" s="1">
        <v>45686</v>
      </c>
      <c r="G662" s="1">
        <v>45687</v>
      </c>
      <c r="H662" t="s">
        <v>12</v>
      </c>
      <c r="I662" t="s">
        <v>25</v>
      </c>
      <c r="J662">
        <v>4</v>
      </c>
      <c r="K662" t="s">
        <v>4</v>
      </c>
      <c r="L662" t="s">
        <v>572</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740</v>
      </c>
      <c r="B663" t="s">
        <v>39</v>
      </c>
      <c r="C663">
        <v>1</v>
      </c>
      <c r="D663">
        <v>26</v>
      </c>
      <c r="E663">
        <v>26</v>
      </c>
      <c r="F663" s="1">
        <v>45686</v>
      </c>
      <c r="G663" s="1">
        <v>45688</v>
      </c>
      <c r="H663" t="s">
        <v>8</v>
      </c>
      <c r="I663" t="s">
        <v>3</v>
      </c>
      <c r="J663">
        <v>4</v>
      </c>
      <c r="K663" t="s">
        <v>4</v>
      </c>
      <c r="L663" t="s">
        <v>18</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741</v>
      </c>
      <c r="B664" t="s">
        <v>11</v>
      </c>
      <c r="C664">
        <v>5</v>
      </c>
      <c r="D664">
        <v>94.4</v>
      </c>
      <c r="E664">
        <v>472</v>
      </c>
      <c r="F664" s="1">
        <v>45686</v>
      </c>
      <c r="G664" s="1">
        <v>45687</v>
      </c>
      <c r="H664" t="s">
        <v>12</v>
      </c>
      <c r="I664" t="s">
        <v>3</v>
      </c>
      <c r="J664">
        <v>4</v>
      </c>
      <c r="K664" t="s">
        <v>4</v>
      </c>
      <c r="L664" t="s">
        <v>18</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742</v>
      </c>
      <c r="B665" t="s">
        <v>1</v>
      </c>
      <c r="C665">
        <v>6</v>
      </c>
      <c r="D665">
        <v>23.7</v>
      </c>
      <c r="E665">
        <v>142.19999999999999</v>
      </c>
      <c r="F665" s="1">
        <v>45686</v>
      </c>
      <c r="G665" s="1">
        <v>45688</v>
      </c>
      <c r="H665" t="s">
        <v>8</v>
      </c>
      <c r="I665" t="s">
        <v>25</v>
      </c>
      <c r="J665">
        <v>5</v>
      </c>
      <c r="K665" t="s">
        <v>4</v>
      </c>
      <c r="L665" t="s">
        <v>18</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743</v>
      </c>
      <c r="B666" t="s">
        <v>31</v>
      </c>
      <c r="C666">
        <v>12</v>
      </c>
      <c r="D666">
        <v>37.4</v>
      </c>
      <c r="E666">
        <v>448.79999999999995</v>
      </c>
      <c r="F666" s="1">
        <v>45686</v>
      </c>
      <c r="G666" s="1">
        <v>45688</v>
      </c>
      <c r="H666" t="s">
        <v>8</v>
      </c>
      <c r="I666" t="s">
        <v>25</v>
      </c>
      <c r="J666">
        <v>4</v>
      </c>
      <c r="K666" t="s">
        <v>4</v>
      </c>
      <c r="L666" t="s">
        <v>18</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744</v>
      </c>
      <c r="B667" t="s">
        <v>7</v>
      </c>
      <c r="C667">
        <v>36</v>
      </c>
      <c r="D667">
        <v>55.2</v>
      </c>
      <c r="E667">
        <v>1987.2</v>
      </c>
      <c r="F667" s="1">
        <v>45686</v>
      </c>
      <c r="G667" s="1">
        <v>45686</v>
      </c>
      <c r="H667" t="s">
        <v>12</v>
      </c>
      <c r="I667" t="s">
        <v>36</v>
      </c>
      <c r="J667">
        <v>3</v>
      </c>
      <c r="K667" t="s">
        <v>4</v>
      </c>
      <c r="L667" t="s">
        <v>18</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745</v>
      </c>
      <c r="B668" t="s">
        <v>11</v>
      </c>
      <c r="C668">
        <v>9</v>
      </c>
      <c r="D668">
        <v>57.1</v>
      </c>
      <c r="E668">
        <v>513.9</v>
      </c>
      <c r="F668" s="1">
        <v>45686</v>
      </c>
      <c r="G668" s="1">
        <v>45688</v>
      </c>
      <c r="H668" t="s">
        <v>8</v>
      </c>
      <c r="I668" t="s">
        <v>3</v>
      </c>
      <c r="J668">
        <v>5</v>
      </c>
      <c r="K668" t="s">
        <v>4</v>
      </c>
      <c r="L668" t="s">
        <v>18</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746</v>
      </c>
      <c r="B669" t="s">
        <v>54</v>
      </c>
      <c r="C669">
        <v>1</v>
      </c>
      <c r="D669">
        <v>55.3</v>
      </c>
      <c r="E669">
        <v>55.3</v>
      </c>
      <c r="F669" s="1">
        <v>45686</v>
      </c>
      <c r="G669" s="1">
        <v>45687</v>
      </c>
      <c r="H669" t="s">
        <v>12</v>
      </c>
      <c r="I669" t="s">
        <v>25</v>
      </c>
      <c r="J669">
        <v>5</v>
      </c>
      <c r="K669" t="s">
        <v>4</v>
      </c>
      <c r="L669" t="s">
        <v>18</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747</v>
      </c>
      <c r="B670" t="s">
        <v>108</v>
      </c>
      <c r="C670">
        <v>7</v>
      </c>
      <c r="D670">
        <v>23.9</v>
      </c>
      <c r="E670">
        <v>167.29999999999998</v>
      </c>
      <c r="F670" s="1">
        <v>45686</v>
      </c>
      <c r="G670" s="1">
        <v>45687</v>
      </c>
      <c r="H670" t="s">
        <v>12</v>
      </c>
      <c r="I670" t="s">
        <v>55</v>
      </c>
      <c r="J670">
        <v>3</v>
      </c>
      <c r="K670" t="s">
        <v>4</v>
      </c>
      <c r="L670" t="s">
        <v>18</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748</v>
      </c>
      <c r="B671" t="s">
        <v>1</v>
      </c>
      <c r="C671">
        <v>1</v>
      </c>
      <c r="D671">
        <v>34.1</v>
      </c>
      <c r="E671">
        <v>34.1</v>
      </c>
      <c r="F671" s="1">
        <v>45686</v>
      </c>
      <c r="G671" s="1">
        <v>45693</v>
      </c>
      <c r="H671" t="s">
        <v>12</v>
      </c>
      <c r="I671" t="s">
        <v>25</v>
      </c>
      <c r="J671">
        <v>4</v>
      </c>
      <c r="K671" t="s">
        <v>4</v>
      </c>
      <c r="L671" t="s">
        <v>18</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749</v>
      </c>
      <c r="B672" t="s">
        <v>54</v>
      </c>
      <c r="C672">
        <v>4</v>
      </c>
      <c r="D672">
        <v>38.5</v>
      </c>
      <c r="E672">
        <v>154</v>
      </c>
      <c r="F672" s="1">
        <v>45686</v>
      </c>
      <c r="G672" s="1">
        <v>45697</v>
      </c>
      <c r="H672" t="s">
        <v>12</v>
      </c>
      <c r="I672" t="s">
        <v>3</v>
      </c>
      <c r="J672">
        <v>4</v>
      </c>
      <c r="K672" t="s">
        <v>4</v>
      </c>
      <c r="L672" t="s">
        <v>18</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750</v>
      </c>
      <c r="B673" t="s">
        <v>27</v>
      </c>
      <c r="C673">
        <v>2</v>
      </c>
      <c r="D673">
        <v>105</v>
      </c>
      <c r="E673">
        <v>210</v>
      </c>
      <c r="F673" s="1">
        <v>45686</v>
      </c>
      <c r="G673" s="1">
        <v>45692</v>
      </c>
      <c r="H673" t="s">
        <v>12</v>
      </c>
      <c r="I673" t="s">
        <v>3</v>
      </c>
      <c r="J673">
        <v>5</v>
      </c>
      <c r="K673" t="s">
        <v>4</v>
      </c>
      <c r="L673" t="s">
        <v>18</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751</v>
      </c>
      <c r="B674" t="s">
        <v>29</v>
      </c>
      <c r="C674">
        <v>5</v>
      </c>
      <c r="D674">
        <v>45.2</v>
      </c>
      <c r="E674">
        <v>226</v>
      </c>
      <c r="F674" s="1">
        <v>45686</v>
      </c>
      <c r="G674" s="1">
        <v>45688</v>
      </c>
      <c r="H674" t="s">
        <v>12</v>
      </c>
      <c r="I674" t="s">
        <v>3</v>
      </c>
      <c r="J674">
        <v>5</v>
      </c>
      <c r="K674" t="s">
        <v>4</v>
      </c>
      <c r="L674" t="s">
        <v>18</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752</v>
      </c>
      <c r="B675" t="s">
        <v>120</v>
      </c>
      <c r="C675">
        <v>3</v>
      </c>
      <c r="D675">
        <v>24.8</v>
      </c>
      <c r="E675">
        <v>74.400000000000006</v>
      </c>
      <c r="F675" s="1">
        <v>45686</v>
      </c>
      <c r="G675" s="1">
        <v>45686</v>
      </c>
      <c r="H675" t="s">
        <v>2</v>
      </c>
      <c r="I675" t="s">
        <v>3</v>
      </c>
      <c r="J675">
        <v>3</v>
      </c>
      <c r="K675" t="s">
        <v>4</v>
      </c>
      <c r="L675" t="s">
        <v>18</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753</v>
      </c>
      <c r="B676" t="s">
        <v>52</v>
      </c>
      <c r="C676">
        <v>4</v>
      </c>
      <c r="D676">
        <v>43.8</v>
      </c>
      <c r="E676">
        <v>175.2</v>
      </c>
      <c r="F676" s="1">
        <v>45686</v>
      </c>
      <c r="G676" s="1">
        <v>45693</v>
      </c>
      <c r="H676" t="s">
        <v>12</v>
      </c>
      <c r="I676" t="s">
        <v>20</v>
      </c>
      <c r="J676">
        <v>5</v>
      </c>
      <c r="K676" t="s">
        <v>4</v>
      </c>
      <c r="L676" t="s">
        <v>40</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754</v>
      </c>
      <c r="B677" t="s">
        <v>7</v>
      </c>
      <c r="C677">
        <v>1</v>
      </c>
      <c r="D677">
        <v>75</v>
      </c>
      <c r="E677">
        <v>75</v>
      </c>
      <c r="F677" s="1">
        <v>45686</v>
      </c>
      <c r="G677" s="1">
        <v>45688</v>
      </c>
      <c r="H677" t="s">
        <v>12</v>
      </c>
      <c r="I677" t="s">
        <v>55</v>
      </c>
      <c r="J677">
        <v>3</v>
      </c>
      <c r="K677" t="s">
        <v>4</v>
      </c>
      <c r="L677" t="s">
        <v>40</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755</v>
      </c>
      <c r="B678" t="s">
        <v>11</v>
      </c>
      <c r="C678">
        <v>1</v>
      </c>
      <c r="D678">
        <v>169.9</v>
      </c>
      <c r="E678">
        <v>169.9</v>
      </c>
      <c r="F678" s="1">
        <v>45686</v>
      </c>
      <c r="G678" s="1">
        <v>45687</v>
      </c>
      <c r="H678" t="s">
        <v>8</v>
      </c>
      <c r="I678" t="s">
        <v>25</v>
      </c>
      <c r="J678">
        <v>4</v>
      </c>
      <c r="K678" t="s">
        <v>4</v>
      </c>
      <c r="L678" t="s">
        <v>40</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756</v>
      </c>
      <c r="B679" t="s">
        <v>31</v>
      </c>
      <c r="C679">
        <v>2</v>
      </c>
      <c r="D679">
        <v>72.2</v>
      </c>
      <c r="E679">
        <v>144.4</v>
      </c>
      <c r="F679" s="1">
        <v>45686</v>
      </c>
      <c r="G679" s="1">
        <v>45688</v>
      </c>
      <c r="H679" t="s">
        <v>12</v>
      </c>
      <c r="I679" t="s">
        <v>55</v>
      </c>
      <c r="J679">
        <v>3</v>
      </c>
      <c r="K679" t="s">
        <v>4</v>
      </c>
      <c r="L679" t="s">
        <v>40</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757</v>
      </c>
      <c r="B680" t="s">
        <v>1</v>
      </c>
      <c r="C680">
        <v>1</v>
      </c>
      <c r="D680">
        <v>20</v>
      </c>
      <c r="E680">
        <v>20</v>
      </c>
      <c r="F680" s="1">
        <v>45687</v>
      </c>
      <c r="G680" s="1">
        <v>45690</v>
      </c>
      <c r="H680" t="s">
        <v>12</v>
      </c>
      <c r="I680" t="s">
        <v>25</v>
      </c>
      <c r="J680">
        <v>3</v>
      </c>
      <c r="K680" t="s">
        <v>4</v>
      </c>
      <c r="L680" t="s">
        <v>44</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758</v>
      </c>
      <c r="B681" t="s">
        <v>31</v>
      </c>
      <c r="C681">
        <v>2</v>
      </c>
      <c r="D681">
        <v>40.799999999999997</v>
      </c>
      <c r="E681">
        <v>81.599999999999994</v>
      </c>
      <c r="F681" s="1">
        <v>45687</v>
      </c>
      <c r="G681" s="1">
        <v>45689</v>
      </c>
      <c r="H681" t="s">
        <v>12</v>
      </c>
      <c r="I681" t="s">
        <v>36</v>
      </c>
      <c r="J681">
        <v>5</v>
      </c>
      <c r="K681" t="s">
        <v>4</v>
      </c>
      <c r="L681" t="s">
        <v>47</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759</v>
      </c>
      <c r="B682" t="s">
        <v>39</v>
      </c>
      <c r="C682">
        <v>4</v>
      </c>
      <c r="D682">
        <v>58</v>
      </c>
      <c r="E682">
        <v>232</v>
      </c>
      <c r="F682" s="1">
        <v>45687</v>
      </c>
      <c r="G682" s="1">
        <v>45691</v>
      </c>
      <c r="H682" t="s">
        <v>12</v>
      </c>
      <c r="I682" t="s">
        <v>3</v>
      </c>
      <c r="J682">
        <v>4</v>
      </c>
      <c r="K682" t="s">
        <v>4</v>
      </c>
      <c r="L682" t="s">
        <v>47</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760</v>
      </c>
      <c r="B683" t="s">
        <v>54</v>
      </c>
      <c r="C683">
        <v>2</v>
      </c>
      <c r="D683">
        <v>43.1</v>
      </c>
      <c r="E683">
        <v>86.2</v>
      </c>
      <c r="F683" s="1">
        <v>45687</v>
      </c>
      <c r="G683" s="1">
        <v>45688</v>
      </c>
      <c r="H683" t="s">
        <v>12</v>
      </c>
      <c r="I683" t="s">
        <v>20</v>
      </c>
      <c r="J683">
        <v>5</v>
      </c>
      <c r="K683" t="s">
        <v>4</v>
      </c>
      <c r="L683" t="s">
        <v>47</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761</v>
      </c>
      <c r="B684" t="s">
        <v>24</v>
      </c>
      <c r="C684">
        <v>9</v>
      </c>
      <c r="D684">
        <v>74.7</v>
      </c>
      <c r="E684">
        <v>672.30000000000007</v>
      </c>
      <c r="F684" s="1">
        <v>45687</v>
      </c>
      <c r="G684" s="1">
        <v>45689</v>
      </c>
      <c r="H684" t="s">
        <v>8</v>
      </c>
      <c r="I684" t="s">
        <v>3</v>
      </c>
      <c r="J684">
        <v>5</v>
      </c>
      <c r="K684" t="s">
        <v>4</v>
      </c>
      <c r="L684" t="s">
        <v>47</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762</v>
      </c>
      <c r="B685" t="s">
        <v>24</v>
      </c>
      <c r="C685">
        <v>1</v>
      </c>
      <c r="D685">
        <v>128.19999999999999</v>
      </c>
      <c r="E685">
        <v>128.19999999999999</v>
      </c>
      <c r="F685" s="1">
        <v>45687</v>
      </c>
      <c r="G685" s="1">
        <v>45687</v>
      </c>
      <c r="H685" t="s">
        <v>8</v>
      </c>
      <c r="I685" t="s">
        <v>20</v>
      </c>
      <c r="J685">
        <v>4</v>
      </c>
      <c r="K685" t="s">
        <v>4</v>
      </c>
      <c r="L685" t="s">
        <v>47</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763</v>
      </c>
      <c r="B686" t="s">
        <v>66</v>
      </c>
      <c r="C686">
        <v>4</v>
      </c>
      <c r="D686">
        <v>26.7</v>
      </c>
      <c r="E686">
        <v>106.8</v>
      </c>
      <c r="F686" s="1">
        <v>45687</v>
      </c>
      <c r="G686" s="1">
        <v>45688</v>
      </c>
      <c r="H686" t="s">
        <v>8</v>
      </c>
      <c r="I686" t="s">
        <v>20</v>
      </c>
      <c r="J686">
        <v>4</v>
      </c>
      <c r="K686" t="s">
        <v>4</v>
      </c>
      <c r="L686" t="s">
        <v>47</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764</v>
      </c>
      <c r="B687" t="s">
        <v>120</v>
      </c>
      <c r="C687">
        <v>6</v>
      </c>
      <c r="D687">
        <v>31.5</v>
      </c>
      <c r="E687">
        <v>189</v>
      </c>
      <c r="F687" s="1">
        <v>45687</v>
      </c>
      <c r="G687" s="1">
        <v>45688</v>
      </c>
      <c r="H687" t="s">
        <v>12</v>
      </c>
      <c r="I687" t="s">
        <v>25</v>
      </c>
      <c r="J687">
        <v>4</v>
      </c>
      <c r="K687" t="s">
        <v>4</v>
      </c>
      <c r="L687" t="s">
        <v>88</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765</v>
      </c>
      <c r="B688" t="s">
        <v>15</v>
      </c>
      <c r="C688">
        <v>7</v>
      </c>
      <c r="D688">
        <v>64.7</v>
      </c>
      <c r="E688">
        <v>452.90000000000003</v>
      </c>
      <c r="F688" s="1">
        <v>45687</v>
      </c>
      <c r="G688" s="1">
        <v>45688</v>
      </c>
      <c r="H688" t="s">
        <v>12</v>
      </c>
      <c r="I688" t="s">
        <v>3</v>
      </c>
      <c r="J688">
        <v>5</v>
      </c>
      <c r="K688" t="s">
        <v>4</v>
      </c>
      <c r="L688" t="s">
        <v>57</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766</v>
      </c>
      <c r="B689" t="s">
        <v>22</v>
      </c>
      <c r="C689">
        <v>2</v>
      </c>
      <c r="D689">
        <v>55.6</v>
      </c>
      <c r="E689">
        <v>111.2</v>
      </c>
      <c r="F689" s="1">
        <v>45687</v>
      </c>
      <c r="G689" s="1">
        <v>45690</v>
      </c>
      <c r="H689" t="s">
        <v>12</v>
      </c>
      <c r="I689" t="s">
        <v>36</v>
      </c>
      <c r="J689">
        <v>4</v>
      </c>
      <c r="K689" t="s">
        <v>4</v>
      </c>
      <c r="L689" t="s">
        <v>62</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767</v>
      </c>
      <c r="B690" t="s">
        <v>15</v>
      </c>
      <c r="C690">
        <v>2</v>
      </c>
      <c r="D690">
        <v>36.200000000000003</v>
      </c>
      <c r="E690">
        <v>72.400000000000006</v>
      </c>
      <c r="F690" s="1">
        <v>45687</v>
      </c>
      <c r="G690" s="1">
        <v>45688</v>
      </c>
      <c r="H690" t="s">
        <v>12</v>
      </c>
      <c r="I690" t="s">
        <v>36</v>
      </c>
      <c r="J690">
        <v>4</v>
      </c>
      <c r="K690" t="s">
        <v>4</v>
      </c>
      <c r="L690" t="s">
        <v>62</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768</v>
      </c>
      <c r="B691" t="s">
        <v>1</v>
      </c>
      <c r="C691">
        <v>1</v>
      </c>
      <c r="D691">
        <v>26.6</v>
      </c>
      <c r="E691">
        <v>26.6</v>
      </c>
      <c r="F691" s="1">
        <v>45687</v>
      </c>
      <c r="G691" s="1">
        <v>45688</v>
      </c>
      <c r="H691" t="s">
        <v>2</v>
      </c>
      <c r="I691" t="s">
        <v>20</v>
      </c>
      <c r="J691">
        <v>3</v>
      </c>
      <c r="K691" t="s">
        <v>4</v>
      </c>
      <c r="L691" t="s">
        <v>95</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769</v>
      </c>
      <c r="B692" t="s">
        <v>39</v>
      </c>
      <c r="C692">
        <v>4</v>
      </c>
      <c r="D692">
        <v>31.5</v>
      </c>
      <c r="E692">
        <v>126</v>
      </c>
      <c r="F692" s="1">
        <v>45687</v>
      </c>
      <c r="G692" s="1">
        <v>45689</v>
      </c>
      <c r="H692" t="s">
        <v>8</v>
      </c>
      <c r="I692" t="s">
        <v>3</v>
      </c>
      <c r="J692">
        <v>4</v>
      </c>
      <c r="K692" t="s">
        <v>4</v>
      </c>
      <c r="L692" t="s">
        <v>277</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770</v>
      </c>
      <c r="B693" t="s">
        <v>39</v>
      </c>
      <c r="C693">
        <v>1</v>
      </c>
      <c r="D693">
        <v>27</v>
      </c>
      <c r="E693">
        <v>27</v>
      </c>
      <c r="F693" s="1">
        <v>45687</v>
      </c>
      <c r="G693" s="1">
        <v>45689</v>
      </c>
      <c r="H693" t="s">
        <v>12</v>
      </c>
      <c r="I693" t="s">
        <v>20</v>
      </c>
      <c r="J693">
        <v>5</v>
      </c>
      <c r="K693" t="s">
        <v>4</v>
      </c>
      <c r="L693" t="s">
        <v>67</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771</v>
      </c>
      <c r="B694" t="s">
        <v>17</v>
      </c>
      <c r="C694">
        <v>1</v>
      </c>
      <c r="D694">
        <v>32</v>
      </c>
      <c r="E694">
        <v>32</v>
      </c>
      <c r="F694" s="1">
        <v>45687</v>
      </c>
      <c r="G694" s="1">
        <v>45690</v>
      </c>
      <c r="H694" t="s">
        <v>8</v>
      </c>
      <c r="I694" t="s">
        <v>36</v>
      </c>
      <c r="J694">
        <v>4</v>
      </c>
      <c r="K694" t="s">
        <v>4</v>
      </c>
      <c r="L694" t="s">
        <v>100</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772</v>
      </c>
      <c r="B695" t="s">
        <v>7</v>
      </c>
      <c r="C695">
        <v>3</v>
      </c>
      <c r="D695">
        <v>48.1</v>
      </c>
      <c r="E695">
        <v>144.30000000000001</v>
      </c>
      <c r="F695" s="1">
        <v>45687</v>
      </c>
      <c r="G695" s="1">
        <v>45689</v>
      </c>
      <c r="H695" t="s">
        <v>8</v>
      </c>
      <c r="I695" t="s">
        <v>25</v>
      </c>
      <c r="J695">
        <v>3</v>
      </c>
      <c r="K695" t="s">
        <v>4</v>
      </c>
      <c r="L695" t="s">
        <v>9</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773</v>
      </c>
      <c r="B696" t="s">
        <v>31</v>
      </c>
      <c r="C696">
        <v>2</v>
      </c>
      <c r="D696">
        <v>43.4</v>
      </c>
      <c r="E696">
        <v>86.8</v>
      </c>
      <c r="F696" s="1">
        <v>45687</v>
      </c>
      <c r="G696" s="1">
        <v>45688</v>
      </c>
      <c r="H696" t="s">
        <v>8</v>
      </c>
      <c r="I696" t="s">
        <v>20</v>
      </c>
      <c r="J696">
        <v>3</v>
      </c>
      <c r="K696" t="s">
        <v>4</v>
      </c>
      <c r="L696" t="s">
        <v>132</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774</v>
      </c>
      <c r="B697" t="s">
        <v>24</v>
      </c>
      <c r="C697">
        <v>2</v>
      </c>
      <c r="D697">
        <v>42.6</v>
      </c>
      <c r="E697">
        <v>85.2</v>
      </c>
      <c r="F697" s="1">
        <v>45687</v>
      </c>
      <c r="G697" s="1">
        <v>45690</v>
      </c>
      <c r="H697" t="s">
        <v>12</v>
      </c>
      <c r="I697" t="s">
        <v>36</v>
      </c>
      <c r="J697">
        <v>4</v>
      </c>
      <c r="K697" t="s">
        <v>4</v>
      </c>
      <c r="L697" t="s">
        <v>132</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775</v>
      </c>
      <c r="B698" t="s">
        <v>29</v>
      </c>
      <c r="C698">
        <v>2</v>
      </c>
      <c r="D698">
        <v>15.9</v>
      </c>
      <c r="E698">
        <v>31.8</v>
      </c>
      <c r="F698" s="1">
        <v>45687</v>
      </c>
      <c r="G698" s="1">
        <v>45688</v>
      </c>
      <c r="H698" t="s">
        <v>12</v>
      </c>
      <c r="I698" t="s">
        <v>3</v>
      </c>
      <c r="J698">
        <v>4</v>
      </c>
      <c r="K698" t="s">
        <v>4</v>
      </c>
      <c r="L698" t="s">
        <v>319</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776</v>
      </c>
      <c r="B699" t="s">
        <v>31</v>
      </c>
      <c r="C699">
        <v>2</v>
      </c>
      <c r="D699">
        <v>63.2</v>
      </c>
      <c r="E699">
        <v>126.4</v>
      </c>
      <c r="F699" s="1">
        <v>45687</v>
      </c>
      <c r="G699" s="1">
        <v>45688</v>
      </c>
      <c r="H699" t="s">
        <v>8</v>
      </c>
      <c r="I699" t="s">
        <v>20</v>
      </c>
      <c r="J699">
        <v>4</v>
      </c>
      <c r="K699" t="s">
        <v>4</v>
      </c>
      <c r="L699" t="s">
        <v>18</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777</v>
      </c>
      <c r="B700" t="s">
        <v>27</v>
      </c>
      <c r="C700">
        <v>4</v>
      </c>
      <c r="D700">
        <v>64.8</v>
      </c>
      <c r="E700">
        <v>259.2</v>
      </c>
      <c r="F700" s="1">
        <v>45687</v>
      </c>
      <c r="G700" s="1">
        <v>45689</v>
      </c>
      <c r="H700" t="s">
        <v>2</v>
      </c>
      <c r="I700" t="s">
        <v>55</v>
      </c>
      <c r="J700">
        <v>3</v>
      </c>
      <c r="K700" t="s">
        <v>4</v>
      </c>
      <c r="L700" t="s">
        <v>18</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778</v>
      </c>
      <c r="B701" t="s">
        <v>27</v>
      </c>
      <c r="C701">
        <v>3</v>
      </c>
      <c r="D701">
        <v>79.8</v>
      </c>
      <c r="E701">
        <v>239.39999999999998</v>
      </c>
      <c r="F701" s="1">
        <v>45687</v>
      </c>
      <c r="G701" s="1">
        <v>45688</v>
      </c>
      <c r="H701" t="s">
        <v>8</v>
      </c>
      <c r="I701" t="s">
        <v>3</v>
      </c>
      <c r="J701">
        <v>4</v>
      </c>
      <c r="K701" t="s">
        <v>4</v>
      </c>
      <c r="L701" t="s">
        <v>18</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779</v>
      </c>
      <c r="B702" t="s">
        <v>31</v>
      </c>
      <c r="C702">
        <v>1</v>
      </c>
      <c r="D702">
        <v>54.4</v>
      </c>
      <c r="E702">
        <v>54.4</v>
      </c>
      <c r="F702" s="1">
        <v>45687</v>
      </c>
      <c r="G702" s="1">
        <v>45689</v>
      </c>
      <c r="H702" t="s">
        <v>12</v>
      </c>
      <c r="I702" t="s">
        <v>55</v>
      </c>
      <c r="J702">
        <v>5</v>
      </c>
      <c r="K702" t="s">
        <v>4</v>
      </c>
      <c r="L702" t="s">
        <v>18</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780</v>
      </c>
      <c r="B703" t="s">
        <v>24</v>
      </c>
      <c r="C703">
        <v>1</v>
      </c>
      <c r="D703">
        <v>87.3</v>
      </c>
      <c r="E703">
        <v>87.3</v>
      </c>
      <c r="F703" s="1">
        <v>45687</v>
      </c>
      <c r="G703" s="1">
        <v>45688</v>
      </c>
      <c r="H703" t="s">
        <v>8</v>
      </c>
      <c r="I703" t="s">
        <v>20</v>
      </c>
      <c r="J703">
        <v>4</v>
      </c>
      <c r="K703" t="s">
        <v>4</v>
      </c>
      <c r="L703" t="s">
        <v>18</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781</v>
      </c>
      <c r="B704" t="s">
        <v>29</v>
      </c>
      <c r="C704">
        <v>4</v>
      </c>
      <c r="D704">
        <v>32.4</v>
      </c>
      <c r="E704">
        <v>129.6</v>
      </c>
      <c r="F704" s="1">
        <v>45687</v>
      </c>
      <c r="G704" s="1">
        <v>45687</v>
      </c>
      <c r="H704" t="s">
        <v>8</v>
      </c>
      <c r="I704" t="s">
        <v>20</v>
      </c>
      <c r="J704">
        <v>4</v>
      </c>
      <c r="K704" t="s">
        <v>4</v>
      </c>
      <c r="L704" t="s">
        <v>18</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782</v>
      </c>
      <c r="B705" t="s">
        <v>11</v>
      </c>
      <c r="C705">
        <v>1</v>
      </c>
      <c r="D705">
        <v>177.4</v>
      </c>
      <c r="E705">
        <v>177.4</v>
      </c>
      <c r="F705" s="1">
        <v>45687</v>
      </c>
      <c r="G705" s="1">
        <v>45691</v>
      </c>
      <c r="H705" t="s">
        <v>8</v>
      </c>
      <c r="I705" t="s">
        <v>3</v>
      </c>
      <c r="J705">
        <v>5</v>
      </c>
      <c r="K705" t="s">
        <v>4</v>
      </c>
      <c r="L705" t="s">
        <v>18</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783</v>
      </c>
      <c r="B706" t="s">
        <v>27</v>
      </c>
      <c r="C706">
        <v>2</v>
      </c>
      <c r="D706">
        <v>70.099999999999994</v>
      </c>
      <c r="E706">
        <v>140.19999999999999</v>
      </c>
      <c r="F706" s="1">
        <v>45687</v>
      </c>
      <c r="G706" s="1">
        <v>45688</v>
      </c>
      <c r="H706" t="s">
        <v>8</v>
      </c>
      <c r="I706" t="s">
        <v>36</v>
      </c>
      <c r="J706">
        <v>3</v>
      </c>
      <c r="K706" t="s">
        <v>4</v>
      </c>
      <c r="L706" t="s">
        <v>18</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784</v>
      </c>
      <c r="B707" t="s">
        <v>31</v>
      </c>
      <c r="C707">
        <v>6</v>
      </c>
      <c r="D707">
        <v>51.1</v>
      </c>
      <c r="E707">
        <v>306.60000000000002</v>
      </c>
      <c r="F707" s="1">
        <v>45687</v>
      </c>
      <c r="G707" s="1">
        <v>45688</v>
      </c>
      <c r="H707" t="s">
        <v>12</v>
      </c>
      <c r="I707" t="s">
        <v>3</v>
      </c>
      <c r="J707">
        <v>4</v>
      </c>
      <c r="K707" t="s">
        <v>4</v>
      </c>
      <c r="L707" t="s">
        <v>18</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785</v>
      </c>
      <c r="B708" t="s">
        <v>11</v>
      </c>
      <c r="C708">
        <v>5</v>
      </c>
      <c r="D708">
        <v>79.900000000000006</v>
      </c>
      <c r="E708">
        <v>399.5</v>
      </c>
      <c r="F708" s="1">
        <v>45687</v>
      </c>
      <c r="G708" s="1">
        <v>45689</v>
      </c>
      <c r="H708" t="s">
        <v>8</v>
      </c>
      <c r="I708" t="s">
        <v>36</v>
      </c>
      <c r="J708">
        <v>5</v>
      </c>
      <c r="K708" t="s">
        <v>4</v>
      </c>
      <c r="L708" t="s">
        <v>171</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786</v>
      </c>
      <c r="B709" t="s">
        <v>24</v>
      </c>
      <c r="C709">
        <v>1</v>
      </c>
      <c r="D709">
        <v>57.6</v>
      </c>
      <c r="E709">
        <v>57.6</v>
      </c>
      <c r="F709" s="1">
        <v>45688</v>
      </c>
      <c r="G709" s="1">
        <v>45693</v>
      </c>
      <c r="H709" t="s">
        <v>8</v>
      </c>
      <c r="I709" t="s">
        <v>3</v>
      </c>
      <c r="J709">
        <v>5</v>
      </c>
      <c r="K709" t="s">
        <v>4</v>
      </c>
      <c r="L709" t="s">
        <v>787</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788</v>
      </c>
      <c r="B710" t="s">
        <v>29</v>
      </c>
      <c r="C710">
        <v>10</v>
      </c>
      <c r="D710">
        <v>59.7</v>
      </c>
      <c r="E710">
        <v>597</v>
      </c>
      <c r="F710" s="1">
        <v>45688</v>
      </c>
      <c r="G710" s="1">
        <v>45692</v>
      </c>
      <c r="H710" t="s">
        <v>8</v>
      </c>
      <c r="I710" t="s">
        <v>25</v>
      </c>
      <c r="J710">
        <v>4</v>
      </c>
      <c r="K710" t="s">
        <v>4</v>
      </c>
      <c r="L710" t="s">
        <v>173</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789</v>
      </c>
      <c r="B711" t="s">
        <v>29</v>
      </c>
      <c r="C711">
        <v>5</v>
      </c>
      <c r="D711">
        <v>30</v>
      </c>
      <c r="E711">
        <v>150</v>
      </c>
      <c r="F711" s="1">
        <v>45688</v>
      </c>
      <c r="G711" s="1">
        <v>45690</v>
      </c>
      <c r="H711" t="s">
        <v>8</v>
      </c>
      <c r="I711" t="s">
        <v>20</v>
      </c>
      <c r="J711">
        <v>4</v>
      </c>
      <c r="K711" t="s">
        <v>4</v>
      </c>
      <c r="L711" t="s">
        <v>40</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790</v>
      </c>
      <c r="B712" t="s">
        <v>39</v>
      </c>
      <c r="C712">
        <v>2</v>
      </c>
      <c r="D712">
        <v>69.2</v>
      </c>
      <c r="E712">
        <v>138.4</v>
      </c>
      <c r="F712" s="1">
        <v>45688</v>
      </c>
      <c r="G712" s="1">
        <v>45690</v>
      </c>
      <c r="H712" t="s">
        <v>2</v>
      </c>
      <c r="I712" t="s">
        <v>25</v>
      </c>
      <c r="J712">
        <v>3</v>
      </c>
      <c r="K712" t="s">
        <v>4</v>
      </c>
      <c r="L712" t="s">
        <v>40</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791</v>
      </c>
      <c r="B713" t="s">
        <v>1</v>
      </c>
      <c r="C713">
        <v>8</v>
      </c>
      <c r="D713">
        <v>10.9</v>
      </c>
      <c r="E713">
        <v>87.2</v>
      </c>
      <c r="F713" s="1">
        <v>45688</v>
      </c>
      <c r="G713" s="1">
        <v>45689</v>
      </c>
      <c r="H713" t="s">
        <v>12</v>
      </c>
      <c r="I713" t="s">
        <v>3</v>
      </c>
      <c r="J713">
        <v>5</v>
      </c>
      <c r="K713" t="s">
        <v>4</v>
      </c>
      <c r="L713" t="s">
        <v>40</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792</v>
      </c>
      <c r="B714" t="s">
        <v>113</v>
      </c>
      <c r="C714">
        <v>2</v>
      </c>
      <c r="D714">
        <v>48.6</v>
      </c>
      <c r="E714">
        <v>97.2</v>
      </c>
      <c r="F714" s="1">
        <v>45688</v>
      </c>
      <c r="G714" s="1">
        <v>45692</v>
      </c>
      <c r="H714" t="s">
        <v>8</v>
      </c>
      <c r="I714" t="s">
        <v>20</v>
      </c>
      <c r="J714">
        <v>5</v>
      </c>
      <c r="K714" t="s">
        <v>4</v>
      </c>
      <c r="L714" t="s">
        <v>40</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793</v>
      </c>
      <c r="B715" t="s">
        <v>11</v>
      </c>
      <c r="C715">
        <v>2</v>
      </c>
      <c r="D715">
        <v>61.1</v>
      </c>
      <c r="E715">
        <v>122.2</v>
      </c>
      <c r="F715" s="1">
        <v>45688</v>
      </c>
      <c r="G715" s="1">
        <v>45691</v>
      </c>
      <c r="H715" t="s">
        <v>12</v>
      </c>
      <c r="I715" t="s">
        <v>20</v>
      </c>
      <c r="J715">
        <v>5</v>
      </c>
      <c r="K715" t="s">
        <v>4</v>
      </c>
      <c r="L715" t="s">
        <v>44</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794</v>
      </c>
      <c r="B716" t="s">
        <v>29</v>
      </c>
      <c r="C716">
        <v>2</v>
      </c>
      <c r="D716">
        <v>23.2</v>
      </c>
      <c r="E716">
        <v>46.4</v>
      </c>
      <c r="F716" s="1">
        <v>45688</v>
      </c>
      <c r="G716" s="1">
        <v>45689</v>
      </c>
      <c r="H716" t="s">
        <v>8</v>
      </c>
      <c r="I716" t="s">
        <v>36</v>
      </c>
      <c r="J716">
        <v>5</v>
      </c>
      <c r="K716" t="s">
        <v>4</v>
      </c>
      <c r="L716" t="s">
        <v>47</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795</v>
      </c>
      <c r="B717" t="s">
        <v>54</v>
      </c>
      <c r="C717">
        <v>4</v>
      </c>
      <c r="D717">
        <v>55.8</v>
      </c>
      <c r="E717">
        <v>223.2</v>
      </c>
      <c r="F717" s="1">
        <v>45688</v>
      </c>
      <c r="G717" s="1">
        <v>45689</v>
      </c>
      <c r="H717" t="s">
        <v>8</v>
      </c>
      <c r="I717" t="s">
        <v>3</v>
      </c>
      <c r="J717">
        <v>4</v>
      </c>
      <c r="K717" t="s">
        <v>4</v>
      </c>
      <c r="L717" t="s">
        <v>47</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796</v>
      </c>
      <c r="B718" t="s">
        <v>31</v>
      </c>
      <c r="C718">
        <v>4</v>
      </c>
      <c r="D718">
        <v>24.8</v>
      </c>
      <c r="E718">
        <v>99.2</v>
      </c>
      <c r="F718" s="1">
        <v>45688</v>
      </c>
      <c r="G718" s="1">
        <v>45689</v>
      </c>
      <c r="H718" t="s">
        <v>12</v>
      </c>
      <c r="I718" t="s">
        <v>3</v>
      </c>
      <c r="J718">
        <v>5</v>
      </c>
      <c r="K718" t="s">
        <v>4</v>
      </c>
      <c r="L718" t="s">
        <v>47</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797</v>
      </c>
      <c r="B719" t="s">
        <v>39</v>
      </c>
      <c r="C719">
        <v>2</v>
      </c>
      <c r="D719">
        <v>27.9</v>
      </c>
      <c r="E719">
        <v>55.8</v>
      </c>
      <c r="F719" s="1">
        <v>45688</v>
      </c>
      <c r="G719" s="1">
        <v>45688</v>
      </c>
      <c r="H719" t="s">
        <v>8</v>
      </c>
      <c r="I719" t="s">
        <v>25</v>
      </c>
      <c r="J719">
        <v>5</v>
      </c>
      <c r="K719" t="s">
        <v>4</v>
      </c>
      <c r="L719" t="s">
        <v>47</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798</v>
      </c>
      <c r="B720" t="s">
        <v>39</v>
      </c>
      <c r="C720">
        <v>6</v>
      </c>
      <c r="D720">
        <v>51.1</v>
      </c>
      <c r="E720">
        <v>306.60000000000002</v>
      </c>
      <c r="F720" s="1">
        <v>45688</v>
      </c>
      <c r="G720" s="1">
        <v>45688</v>
      </c>
      <c r="H720" t="s">
        <v>12</v>
      </c>
      <c r="I720" t="s">
        <v>36</v>
      </c>
      <c r="J720">
        <v>4</v>
      </c>
      <c r="K720" t="s">
        <v>4</v>
      </c>
      <c r="L720" t="s">
        <v>47</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799</v>
      </c>
      <c r="B721" t="s">
        <v>120</v>
      </c>
      <c r="C721">
        <v>11</v>
      </c>
      <c r="D721">
        <v>32.700000000000003</v>
      </c>
      <c r="E721">
        <v>359.70000000000005</v>
      </c>
      <c r="F721" s="1">
        <v>45688</v>
      </c>
      <c r="G721" s="1">
        <v>45689</v>
      </c>
      <c r="H721" t="s">
        <v>8</v>
      </c>
      <c r="I721" t="s">
        <v>55</v>
      </c>
      <c r="J721">
        <v>5</v>
      </c>
      <c r="K721" t="s">
        <v>4</v>
      </c>
      <c r="L721" t="s">
        <v>88</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800</v>
      </c>
      <c r="B722" t="s">
        <v>29</v>
      </c>
      <c r="C722">
        <v>4</v>
      </c>
      <c r="D722">
        <v>22.5</v>
      </c>
      <c r="E722">
        <v>90</v>
      </c>
      <c r="F722" s="1">
        <v>45688</v>
      </c>
      <c r="G722" s="1">
        <v>45688</v>
      </c>
      <c r="H722" t="s">
        <v>8</v>
      </c>
      <c r="I722" t="s">
        <v>3</v>
      </c>
      <c r="J722">
        <v>5</v>
      </c>
      <c r="K722" t="s">
        <v>4</v>
      </c>
      <c r="L722" t="s">
        <v>186</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801</v>
      </c>
      <c r="B723" t="s">
        <v>1</v>
      </c>
      <c r="C723">
        <v>7</v>
      </c>
      <c r="D723">
        <v>14.6</v>
      </c>
      <c r="E723">
        <v>102.2</v>
      </c>
      <c r="F723" s="1">
        <v>45688</v>
      </c>
      <c r="G723" s="1">
        <v>45689</v>
      </c>
      <c r="H723" t="s">
        <v>12</v>
      </c>
      <c r="I723" t="s">
        <v>25</v>
      </c>
      <c r="J723">
        <v>4</v>
      </c>
      <c r="K723" t="s">
        <v>4</v>
      </c>
      <c r="L723" t="s">
        <v>414</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802</v>
      </c>
      <c r="B724" t="s">
        <v>22</v>
      </c>
      <c r="C724">
        <v>3</v>
      </c>
      <c r="D724">
        <v>32.5</v>
      </c>
      <c r="E724">
        <v>97.5</v>
      </c>
      <c r="F724" s="1">
        <v>45688</v>
      </c>
      <c r="G724" s="1">
        <v>45691</v>
      </c>
      <c r="H724" t="s">
        <v>8</v>
      </c>
      <c r="I724" t="s">
        <v>3</v>
      </c>
      <c r="J724">
        <v>4</v>
      </c>
      <c r="K724" t="s">
        <v>4</v>
      </c>
      <c r="L724" t="s">
        <v>59</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803</v>
      </c>
      <c r="B725" t="s">
        <v>131</v>
      </c>
      <c r="C725">
        <v>1</v>
      </c>
      <c r="D725">
        <v>78.099999999999994</v>
      </c>
      <c r="E725">
        <v>78.099999999999994</v>
      </c>
      <c r="F725" s="1">
        <v>45688</v>
      </c>
      <c r="G725" s="1">
        <v>45691</v>
      </c>
      <c r="H725" t="s">
        <v>8</v>
      </c>
      <c r="I725" t="s">
        <v>3</v>
      </c>
      <c r="J725">
        <v>5</v>
      </c>
      <c r="K725" t="s">
        <v>4</v>
      </c>
      <c r="L725" t="s">
        <v>62</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804</v>
      </c>
      <c r="B726" t="s">
        <v>54</v>
      </c>
      <c r="C726">
        <v>6</v>
      </c>
      <c r="D726">
        <v>110.2</v>
      </c>
      <c r="E726">
        <v>661.2</v>
      </c>
      <c r="F726" s="1">
        <v>45688</v>
      </c>
      <c r="G726" s="1">
        <v>45688</v>
      </c>
      <c r="H726" t="s">
        <v>8</v>
      </c>
      <c r="I726" t="s">
        <v>20</v>
      </c>
      <c r="J726">
        <v>2</v>
      </c>
      <c r="K726" t="s">
        <v>4</v>
      </c>
      <c r="L726" t="s">
        <v>67</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805</v>
      </c>
      <c r="B727" t="s">
        <v>24</v>
      </c>
      <c r="C727">
        <v>3</v>
      </c>
      <c r="D727">
        <v>86.3</v>
      </c>
      <c r="E727">
        <v>258.89999999999998</v>
      </c>
      <c r="F727" s="1">
        <v>45688</v>
      </c>
      <c r="G727" s="1">
        <v>45690</v>
      </c>
      <c r="H727" t="s">
        <v>12</v>
      </c>
      <c r="I727" t="s">
        <v>36</v>
      </c>
      <c r="J727">
        <v>4</v>
      </c>
      <c r="K727" t="s">
        <v>4</v>
      </c>
      <c r="L727" t="s">
        <v>100</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806</v>
      </c>
      <c r="B728" t="s">
        <v>7</v>
      </c>
      <c r="C728">
        <v>6</v>
      </c>
      <c r="D728">
        <v>73.599999999999994</v>
      </c>
      <c r="E728">
        <v>441.59999999999997</v>
      </c>
      <c r="F728" s="1">
        <v>45688</v>
      </c>
      <c r="G728" s="1">
        <v>45690</v>
      </c>
      <c r="H728" t="s">
        <v>74</v>
      </c>
      <c r="I728" t="s">
        <v>36</v>
      </c>
      <c r="J728">
        <v>2</v>
      </c>
      <c r="K728" t="s">
        <v>4</v>
      </c>
      <c r="L728" t="s">
        <v>572</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807</v>
      </c>
      <c r="B729" t="s">
        <v>24</v>
      </c>
      <c r="C729">
        <v>13</v>
      </c>
      <c r="D729">
        <v>67.7</v>
      </c>
      <c r="E729">
        <v>880.1</v>
      </c>
      <c r="F729" s="1">
        <v>45688</v>
      </c>
      <c r="G729" s="1">
        <v>45690</v>
      </c>
      <c r="H729" t="s">
        <v>12</v>
      </c>
      <c r="I729" t="s">
        <v>3</v>
      </c>
      <c r="J729">
        <v>5</v>
      </c>
      <c r="K729" t="s">
        <v>4</v>
      </c>
      <c r="L729" t="s">
        <v>18</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808</v>
      </c>
      <c r="B730" t="s">
        <v>27</v>
      </c>
      <c r="C730">
        <v>6</v>
      </c>
      <c r="D730">
        <v>142.19999999999999</v>
      </c>
      <c r="E730">
        <v>853.19999999999993</v>
      </c>
      <c r="F730" s="1">
        <v>45688</v>
      </c>
      <c r="G730" s="1">
        <v>45689</v>
      </c>
      <c r="H730" t="s">
        <v>12</v>
      </c>
      <c r="I730" t="s">
        <v>25</v>
      </c>
      <c r="J730">
        <v>2</v>
      </c>
      <c r="K730" t="s">
        <v>4</v>
      </c>
      <c r="L730" t="s">
        <v>18</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809</v>
      </c>
      <c r="B731" t="s">
        <v>7</v>
      </c>
      <c r="C731">
        <v>9</v>
      </c>
      <c r="D731">
        <v>45.8</v>
      </c>
      <c r="E731">
        <v>412.2</v>
      </c>
      <c r="F731" s="1">
        <v>45688</v>
      </c>
      <c r="G731" s="1">
        <v>45690</v>
      </c>
      <c r="H731" t="s">
        <v>12</v>
      </c>
      <c r="I731" t="s">
        <v>20</v>
      </c>
      <c r="J731">
        <v>5</v>
      </c>
      <c r="K731" t="s">
        <v>4</v>
      </c>
      <c r="L731" t="s">
        <v>18</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810</v>
      </c>
      <c r="B732" t="s">
        <v>39</v>
      </c>
      <c r="C732">
        <v>2</v>
      </c>
      <c r="D732">
        <v>24.2</v>
      </c>
      <c r="E732">
        <v>48.4</v>
      </c>
      <c r="F732" s="1">
        <v>45689</v>
      </c>
      <c r="G732" s="1">
        <v>45692</v>
      </c>
      <c r="H732" t="s">
        <v>12</v>
      </c>
      <c r="I732" t="s">
        <v>36</v>
      </c>
      <c r="J732">
        <v>5</v>
      </c>
      <c r="K732" t="s">
        <v>4</v>
      </c>
      <c r="L732" t="s">
        <v>18</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811</v>
      </c>
      <c r="B733" t="s">
        <v>11</v>
      </c>
      <c r="C733">
        <v>3</v>
      </c>
      <c r="D733">
        <v>144.9</v>
      </c>
      <c r="E733">
        <v>434.70000000000005</v>
      </c>
      <c r="F733" s="1">
        <v>45689</v>
      </c>
      <c r="G733" s="1">
        <v>45690</v>
      </c>
      <c r="H733" t="s">
        <v>74</v>
      </c>
      <c r="I733" t="s">
        <v>25</v>
      </c>
      <c r="J733">
        <v>5</v>
      </c>
      <c r="K733" t="s">
        <v>4</v>
      </c>
      <c r="L733" t="s">
        <v>18</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812</v>
      </c>
      <c r="B734" t="s">
        <v>52</v>
      </c>
      <c r="C734">
        <v>5</v>
      </c>
      <c r="D734">
        <v>32.799999999999997</v>
      </c>
      <c r="E734">
        <v>164</v>
      </c>
      <c r="F734" s="1">
        <v>45689</v>
      </c>
      <c r="G734" s="1">
        <v>45692</v>
      </c>
      <c r="H734" t="s">
        <v>12</v>
      </c>
      <c r="I734" t="s">
        <v>25</v>
      </c>
      <c r="J734">
        <v>4</v>
      </c>
      <c r="K734" t="s">
        <v>4</v>
      </c>
      <c r="L734" t="s">
        <v>143</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813</v>
      </c>
      <c r="B735" t="s">
        <v>27</v>
      </c>
      <c r="C735">
        <v>10</v>
      </c>
      <c r="D735">
        <v>35.700000000000003</v>
      </c>
      <c r="E735">
        <v>357</v>
      </c>
      <c r="F735" s="1">
        <v>45689</v>
      </c>
      <c r="G735" s="1">
        <v>45689</v>
      </c>
      <c r="H735" t="s">
        <v>12</v>
      </c>
      <c r="I735" t="s">
        <v>3</v>
      </c>
      <c r="J735">
        <v>3</v>
      </c>
      <c r="K735" t="s">
        <v>4</v>
      </c>
      <c r="L735" t="s">
        <v>40</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814</v>
      </c>
      <c r="B736" t="s">
        <v>31</v>
      </c>
      <c r="C736">
        <v>2</v>
      </c>
      <c r="D736">
        <v>54.6</v>
      </c>
      <c r="E736">
        <v>109.2</v>
      </c>
      <c r="F736" s="1">
        <v>45689</v>
      </c>
      <c r="G736" s="1">
        <v>45690</v>
      </c>
      <c r="H736" t="s">
        <v>12</v>
      </c>
      <c r="I736" t="s">
        <v>25</v>
      </c>
      <c r="J736">
        <v>4</v>
      </c>
      <c r="K736" t="s">
        <v>4</v>
      </c>
      <c r="L736" t="s">
        <v>40</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815</v>
      </c>
      <c r="B737" t="s">
        <v>29</v>
      </c>
      <c r="C737">
        <v>2</v>
      </c>
      <c r="D737">
        <v>35.700000000000003</v>
      </c>
      <c r="E737">
        <v>71.400000000000006</v>
      </c>
      <c r="F737" s="1">
        <v>45689</v>
      </c>
      <c r="G737" s="1">
        <v>45692</v>
      </c>
      <c r="H737" t="s">
        <v>2</v>
      </c>
      <c r="I737" t="s">
        <v>3</v>
      </c>
      <c r="J737">
        <v>3</v>
      </c>
      <c r="K737" t="s">
        <v>4</v>
      </c>
      <c r="L737" t="s">
        <v>40</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816</v>
      </c>
      <c r="B738" t="s">
        <v>39</v>
      </c>
      <c r="C738">
        <v>2</v>
      </c>
      <c r="D738">
        <v>52.4</v>
      </c>
      <c r="E738">
        <v>104.8</v>
      </c>
      <c r="F738" s="1">
        <v>45689</v>
      </c>
      <c r="G738" s="1">
        <v>45689</v>
      </c>
      <c r="H738" t="s">
        <v>12</v>
      </c>
      <c r="I738" t="s">
        <v>3</v>
      </c>
      <c r="J738">
        <v>1</v>
      </c>
      <c r="K738" t="s">
        <v>4</v>
      </c>
      <c r="L738" t="s">
        <v>40</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817</v>
      </c>
      <c r="B739" t="s">
        <v>29</v>
      </c>
      <c r="C739">
        <v>14</v>
      </c>
      <c r="D739">
        <v>16.2</v>
      </c>
      <c r="E739">
        <v>226.79999999999998</v>
      </c>
      <c r="F739" s="1">
        <v>45689</v>
      </c>
      <c r="G739" s="1">
        <v>45690</v>
      </c>
      <c r="H739" t="s">
        <v>2</v>
      </c>
      <c r="I739" t="s">
        <v>3</v>
      </c>
      <c r="J739">
        <v>3</v>
      </c>
      <c r="K739" t="s">
        <v>4</v>
      </c>
      <c r="L739" t="s">
        <v>47</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818</v>
      </c>
      <c r="B740" t="s">
        <v>24</v>
      </c>
      <c r="C740">
        <v>47</v>
      </c>
      <c r="D740">
        <v>42.8</v>
      </c>
      <c r="E740">
        <v>2011.6</v>
      </c>
      <c r="F740" s="1">
        <v>45689</v>
      </c>
      <c r="G740" s="1">
        <v>45690</v>
      </c>
      <c r="H740" t="s">
        <v>12</v>
      </c>
      <c r="I740" t="s">
        <v>3</v>
      </c>
      <c r="J740">
        <v>4</v>
      </c>
      <c r="K740" t="s">
        <v>4</v>
      </c>
      <c r="L740" t="s">
        <v>47</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819</v>
      </c>
      <c r="B741" t="s">
        <v>24</v>
      </c>
      <c r="C741">
        <v>9</v>
      </c>
      <c r="D741">
        <v>144.4</v>
      </c>
      <c r="E741">
        <v>1299.6000000000001</v>
      </c>
      <c r="F741" s="1">
        <v>45689</v>
      </c>
      <c r="G741" s="1">
        <v>45692</v>
      </c>
      <c r="H741" t="s">
        <v>12</v>
      </c>
      <c r="I741" t="s">
        <v>55</v>
      </c>
      <c r="J741">
        <v>4</v>
      </c>
      <c r="K741" t="s">
        <v>4</v>
      </c>
      <c r="L741" t="s">
        <v>47</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820</v>
      </c>
      <c r="B742" t="s">
        <v>15</v>
      </c>
      <c r="C742">
        <v>36</v>
      </c>
      <c r="D742">
        <v>30.6</v>
      </c>
      <c r="E742">
        <v>1101.6000000000001</v>
      </c>
      <c r="F742" s="1">
        <v>45689</v>
      </c>
      <c r="G742" s="1">
        <v>45693</v>
      </c>
      <c r="H742" t="s">
        <v>12</v>
      </c>
      <c r="I742" t="s">
        <v>25</v>
      </c>
      <c r="J742">
        <v>5</v>
      </c>
      <c r="K742" t="s">
        <v>4</v>
      </c>
      <c r="L742" t="s">
        <v>62</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821</v>
      </c>
      <c r="B743" t="s">
        <v>11</v>
      </c>
      <c r="C743">
        <v>2</v>
      </c>
      <c r="D743">
        <v>117.5</v>
      </c>
      <c r="E743">
        <v>235</v>
      </c>
      <c r="F743" s="1">
        <v>45689</v>
      </c>
      <c r="G743" s="1">
        <v>45690</v>
      </c>
      <c r="H743" t="s">
        <v>8</v>
      </c>
      <c r="I743" t="s">
        <v>3</v>
      </c>
      <c r="J743">
        <v>4</v>
      </c>
      <c r="K743" t="s">
        <v>4</v>
      </c>
      <c r="L743" t="s">
        <v>95</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822</v>
      </c>
      <c r="B744" t="s">
        <v>24</v>
      </c>
      <c r="C744">
        <v>2</v>
      </c>
      <c r="D744">
        <v>105.7</v>
      </c>
      <c r="E744">
        <v>211.4</v>
      </c>
      <c r="F744" s="1">
        <v>45689</v>
      </c>
      <c r="G744" s="1">
        <v>45690</v>
      </c>
      <c r="H744" t="s">
        <v>12</v>
      </c>
      <c r="I744" t="s">
        <v>25</v>
      </c>
      <c r="J744">
        <v>5</v>
      </c>
      <c r="K744" t="s">
        <v>4</v>
      </c>
      <c r="L744" t="s">
        <v>100</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823</v>
      </c>
      <c r="B745" t="s">
        <v>15</v>
      </c>
      <c r="C745">
        <v>3</v>
      </c>
      <c r="D745">
        <v>133.69999999999999</v>
      </c>
      <c r="E745">
        <v>401.09999999999997</v>
      </c>
      <c r="F745" s="1">
        <v>45689</v>
      </c>
      <c r="G745" s="1">
        <v>45690</v>
      </c>
      <c r="H745" t="s">
        <v>2</v>
      </c>
      <c r="I745" t="s">
        <v>55</v>
      </c>
      <c r="J745">
        <v>5</v>
      </c>
      <c r="K745" t="s">
        <v>4</v>
      </c>
      <c r="L745" t="s">
        <v>100</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824</v>
      </c>
      <c r="B746" t="s">
        <v>17</v>
      </c>
      <c r="C746">
        <v>5</v>
      </c>
      <c r="D746">
        <v>46.8</v>
      </c>
      <c r="E746">
        <v>234</v>
      </c>
      <c r="F746" s="1">
        <v>45690</v>
      </c>
      <c r="G746" s="1">
        <v>45698</v>
      </c>
      <c r="H746" t="s">
        <v>12</v>
      </c>
      <c r="I746" t="s">
        <v>3</v>
      </c>
      <c r="J746">
        <v>3</v>
      </c>
      <c r="K746" t="s">
        <v>4</v>
      </c>
      <c r="L746" t="s">
        <v>100</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825</v>
      </c>
      <c r="B747" t="s">
        <v>39</v>
      </c>
      <c r="C747">
        <v>3</v>
      </c>
      <c r="D747">
        <v>58.4</v>
      </c>
      <c r="E747">
        <v>175.2</v>
      </c>
      <c r="F747" s="1">
        <v>45690</v>
      </c>
      <c r="G747" s="1">
        <v>45692</v>
      </c>
      <c r="H747" t="s">
        <v>12</v>
      </c>
      <c r="I747" t="s">
        <v>3</v>
      </c>
      <c r="J747">
        <v>4</v>
      </c>
      <c r="K747" t="s">
        <v>4</v>
      </c>
      <c r="L747" t="s">
        <v>9</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826</v>
      </c>
      <c r="B748" t="s">
        <v>24</v>
      </c>
      <c r="C748">
        <v>9</v>
      </c>
      <c r="D748">
        <v>65.099999999999994</v>
      </c>
      <c r="E748">
        <v>585.9</v>
      </c>
      <c r="F748" s="1">
        <v>45690</v>
      </c>
      <c r="G748" s="1">
        <v>45694</v>
      </c>
      <c r="H748" t="s">
        <v>8</v>
      </c>
      <c r="I748" t="s">
        <v>20</v>
      </c>
      <c r="J748">
        <v>5</v>
      </c>
      <c r="K748" t="s">
        <v>4</v>
      </c>
      <c r="L748" t="s">
        <v>132</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827</v>
      </c>
      <c r="B749" t="s">
        <v>29</v>
      </c>
      <c r="C749">
        <v>1</v>
      </c>
      <c r="D749">
        <v>18.600000000000001</v>
      </c>
      <c r="E749">
        <v>18.600000000000001</v>
      </c>
      <c r="F749" s="1">
        <v>45690</v>
      </c>
      <c r="G749" s="1">
        <v>45693</v>
      </c>
      <c r="H749" t="s">
        <v>12</v>
      </c>
      <c r="I749" t="s">
        <v>3</v>
      </c>
      <c r="J749">
        <v>2</v>
      </c>
      <c r="K749" t="s">
        <v>4</v>
      </c>
      <c r="L749" t="s">
        <v>132</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828</v>
      </c>
      <c r="B750" t="s">
        <v>7</v>
      </c>
      <c r="C750">
        <v>11</v>
      </c>
      <c r="D750">
        <v>92.3</v>
      </c>
      <c r="E750">
        <v>1015.3</v>
      </c>
      <c r="F750" s="1">
        <v>45690</v>
      </c>
      <c r="G750" s="1">
        <v>45692</v>
      </c>
      <c r="H750" t="s">
        <v>8</v>
      </c>
      <c r="I750" t="s">
        <v>20</v>
      </c>
      <c r="J750">
        <v>4</v>
      </c>
      <c r="K750" t="s">
        <v>4</v>
      </c>
      <c r="L750" t="s">
        <v>18</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829</v>
      </c>
      <c r="B751" t="s">
        <v>24</v>
      </c>
      <c r="C751">
        <v>3</v>
      </c>
      <c r="D751">
        <v>81.7</v>
      </c>
      <c r="E751">
        <v>245.10000000000002</v>
      </c>
      <c r="F751" s="1">
        <v>45690</v>
      </c>
      <c r="G751" s="1">
        <v>45691</v>
      </c>
      <c r="H751" t="s">
        <v>2</v>
      </c>
      <c r="I751" t="s">
        <v>55</v>
      </c>
      <c r="J751">
        <v>2</v>
      </c>
      <c r="K751" t="s">
        <v>4</v>
      </c>
      <c r="L751" t="s">
        <v>18</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830</v>
      </c>
      <c r="B752" t="s">
        <v>29</v>
      </c>
      <c r="C752">
        <v>2</v>
      </c>
      <c r="D752">
        <v>40.9</v>
      </c>
      <c r="E752">
        <v>81.8</v>
      </c>
      <c r="F752" s="1">
        <v>45690</v>
      </c>
      <c r="G752" s="1">
        <v>45692</v>
      </c>
      <c r="H752" t="s">
        <v>8</v>
      </c>
      <c r="I752" t="s">
        <v>3</v>
      </c>
      <c r="J752">
        <v>3</v>
      </c>
      <c r="K752" t="s">
        <v>4</v>
      </c>
      <c r="L752" t="s">
        <v>18</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831</v>
      </c>
      <c r="B753" t="s">
        <v>24</v>
      </c>
      <c r="C753">
        <v>4</v>
      </c>
      <c r="D753">
        <v>43.2</v>
      </c>
      <c r="E753">
        <v>172.8</v>
      </c>
      <c r="F753" s="1">
        <v>45690</v>
      </c>
      <c r="G753" s="1">
        <v>45696</v>
      </c>
      <c r="H753" t="s">
        <v>12</v>
      </c>
      <c r="I753" t="s">
        <v>3</v>
      </c>
      <c r="J753">
        <v>3</v>
      </c>
      <c r="K753" t="s">
        <v>4</v>
      </c>
      <c r="L753" t="s">
        <v>18</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832</v>
      </c>
      <c r="B754" t="s">
        <v>29</v>
      </c>
      <c r="C754">
        <v>11</v>
      </c>
      <c r="D754">
        <v>25.8</v>
      </c>
      <c r="E754">
        <v>283.8</v>
      </c>
      <c r="F754" s="1">
        <v>45690</v>
      </c>
      <c r="G754" s="1">
        <v>45693</v>
      </c>
      <c r="H754" t="s">
        <v>8</v>
      </c>
      <c r="I754" t="s">
        <v>25</v>
      </c>
      <c r="J754">
        <v>3</v>
      </c>
      <c r="K754" t="s">
        <v>4</v>
      </c>
      <c r="L754" t="s">
        <v>18</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833</v>
      </c>
      <c r="B755" t="s">
        <v>108</v>
      </c>
      <c r="C755">
        <v>4</v>
      </c>
      <c r="D755">
        <v>36.4</v>
      </c>
      <c r="E755">
        <v>145.6</v>
      </c>
      <c r="F755" s="1">
        <v>45690</v>
      </c>
      <c r="G755" s="1">
        <v>45691</v>
      </c>
      <c r="H755" t="s">
        <v>8</v>
      </c>
      <c r="I755" t="s">
        <v>3</v>
      </c>
      <c r="J755">
        <v>4</v>
      </c>
      <c r="K755" t="s">
        <v>4</v>
      </c>
      <c r="L755" t="s">
        <v>18</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834</v>
      </c>
      <c r="B756" t="s">
        <v>39</v>
      </c>
      <c r="C756">
        <v>1</v>
      </c>
      <c r="D756">
        <v>59.1</v>
      </c>
      <c r="E756">
        <v>59.1</v>
      </c>
      <c r="F756" s="1">
        <v>45690</v>
      </c>
      <c r="G756" s="1">
        <v>45691</v>
      </c>
      <c r="H756" t="s">
        <v>12</v>
      </c>
      <c r="I756" t="s">
        <v>25</v>
      </c>
      <c r="J756">
        <v>4</v>
      </c>
      <c r="K756" t="s">
        <v>4</v>
      </c>
      <c r="L756" t="s">
        <v>44</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835</v>
      </c>
      <c r="B757" t="s">
        <v>11</v>
      </c>
      <c r="C757">
        <v>17</v>
      </c>
      <c r="D757">
        <v>74.5</v>
      </c>
      <c r="E757">
        <v>1266.5</v>
      </c>
      <c r="F757" s="1">
        <v>45690</v>
      </c>
      <c r="G757" s="1">
        <v>45692</v>
      </c>
      <c r="H757" t="s">
        <v>8</v>
      </c>
      <c r="I757" t="s">
        <v>55</v>
      </c>
      <c r="J757">
        <v>4</v>
      </c>
      <c r="K757" t="s">
        <v>4</v>
      </c>
      <c r="L757" t="s">
        <v>93</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836</v>
      </c>
      <c r="B758" t="s">
        <v>22</v>
      </c>
      <c r="C758">
        <v>1</v>
      </c>
      <c r="D758">
        <v>72.8</v>
      </c>
      <c r="E758">
        <v>72.8</v>
      </c>
      <c r="F758" s="1">
        <v>45690</v>
      </c>
      <c r="G758" s="1">
        <v>45691</v>
      </c>
      <c r="H758" t="s">
        <v>12</v>
      </c>
      <c r="I758" t="s">
        <v>3</v>
      </c>
      <c r="J758">
        <v>3</v>
      </c>
      <c r="K758" t="s">
        <v>4</v>
      </c>
      <c r="L758" t="s">
        <v>95</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837</v>
      </c>
      <c r="B759" t="s">
        <v>24</v>
      </c>
      <c r="C759">
        <v>4</v>
      </c>
      <c r="D759">
        <v>137.30000000000001</v>
      </c>
      <c r="E759">
        <v>549.20000000000005</v>
      </c>
      <c r="F759" s="1">
        <v>45690</v>
      </c>
      <c r="G759" s="1">
        <v>45693</v>
      </c>
      <c r="H759" t="s">
        <v>12</v>
      </c>
      <c r="I759" t="s">
        <v>3</v>
      </c>
      <c r="J759">
        <v>4</v>
      </c>
      <c r="K759" t="s">
        <v>4</v>
      </c>
      <c r="L759" t="s">
        <v>67</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838</v>
      </c>
      <c r="B760" t="s">
        <v>7</v>
      </c>
      <c r="C760">
        <v>3</v>
      </c>
      <c r="D760">
        <v>48.7</v>
      </c>
      <c r="E760">
        <v>146.10000000000002</v>
      </c>
      <c r="F760" s="1">
        <v>45690</v>
      </c>
      <c r="G760" s="1">
        <v>45695</v>
      </c>
      <c r="H760" t="s">
        <v>12</v>
      </c>
      <c r="I760" t="s">
        <v>3</v>
      </c>
      <c r="J760">
        <v>3</v>
      </c>
      <c r="K760" t="s">
        <v>4</v>
      </c>
      <c r="L760" t="s">
        <v>100</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839</v>
      </c>
      <c r="B761" t="s">
        <v>24</v>
      </c>
      <c r="C761">
        <v>4</v>
      </c>
      <c r="D761">
        <v>53.7</v>
      </c>
      <c r="E761">
        <v>214.8</v>
      </c>
      <c r="F761" s="1">
        <v>45690</v>
      </c>
      <c r="G761" s="1">
        <v>45694</v>
      </c>
      <c r="H761" t="s">
        <v>8</v>
      </c>
      <c r="I761" t="s">
        <v>20</v>
      </c>
      <c r="J761">
        <v>2</v>
      </c>
      <c r="K761" t="s">
        <v>4</v>
      </c>
      <c r="L761" t="s">
        <v>13</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840</v>
      </c>
      <c r="B762" t="s">
        <v>11</v>
      </c>
      <c r="C762">
        <v>7</v>
      </c>
      <c r="D762">
        <v>100.9</v>
      </c>
      <c r="E762">
        <v>706.30000000000007</v>
      </c>
      <c r="F762" s="1">
        <v>45690</v>
      </c>
      <c r="G762" s="1">
        <v>45692</v>
      </c>
      <c r="H762" t="s">
        <v>12</v>
      </c>
      <c r="I762" t="s">
        <v>3</v>
      </c>
      <c r="J762">
        <v>3</v>
      </c>
      <c r="K762" t="s">
        <v>4</v>
      </c>
      <c r="L762" t="s">
        <v>13</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841</v>
      </c>
      <c r="B763" t="s">
        <v>39</v>
      </c>
      <c r="C763">
        <v>2</v>
      </c>
      <c r="D763">
        <v>41.8</v>
      </c>
      <c r="E763">
        <v>83.6</v>
      </c>
      <c r="F763" s="1">
        <v>45690</v>
      </c>
      <c r="G763" s="1">
        <v>45694</v>
      </c>
      <c r="H763" t="s">
        <v>8</v>
      </c>
      <c r="I763" t="s">
        <v>36</v>
      </c>
      <c r="J763">
        <v>5</v>
      </c>
      <c r="K763" t="s">
        <v>4</v>
      </c>
      <c r="L763" t="s">
        <v>132</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842</v>
      </c>
      <c r="B764" t="s">
        <v>17</v>
      </c>
      <c r="C764">
        <v>8</v>
      </c>
      <c r="D764">
        <v>28.5</v>
      </c>
      <c r="E764">
        <v>228</v>
      </c>
      <c r="F764" s="1">
        <v>45690</v>
      </c>
      <c r="G764" s="1">
        <v>45692</v>
      </c>
      <c r="H764" t="s">
        <v>8</v>
      </c>
      <c r="I764" t="s">
        <v>25</v>
      </c>
      <c r="J764">
        <v>3</v>
      </c>
      <c r="K764" t="s">
        <v>4</v>
      </c>
      <c r="L764" t="s">
        <v>18</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843</v>
      </c>
      <c r="B765" t="s">
        <v>27</v>
      </c>
      <c r="C765">
        <v>4</v>
      </c>
      <c r="D765">
        <v>88.9</v>
      </c>
      <c r="E765">
        <v>355.6</v>
      </c>
      <c r="F765" s="1">
        <v>45690</v>
      </c>
      <c r="G765" s="1">
        <v>45693</v>
      </c>
      <c r="H765" t="s">
        <v>12</v>
      </c>
      <c r="I765" t="s">
        <v>3</v>
      </c>
      <c r="J765">
        <v>5</v>
      </c>
      <c r="K765" t="s">
        <v>4</v>
      </c>
      <c r="L765" t="s">
        <v>18</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844</v>
      </c>
      <c r="B766" t="s">
        <v>24</v>
      </c>
      <c r="C766">
        <v>1</v>
      </c>
      <c r="D766">
        <v>62.5</v>
      </c>
      <c r="E766">
        <v>62.5</v>
      </c>
      <c r="F766" s="1">
        <v>45690</v>
      </c>
      <c r="G766" s="1">
        <v>45699</v>
      </c>
      <c r="H766" t="s">
        <v>12</v>
      </c>
      <c r="I766" t="s">
        <v>3</v>
      </c>
      <c r="J766">
        <v>5</v>
      </c>
      <c r="K766" t="s">
        <v>4</v>
      </c>
      <c r="L766" t="s">
        <v>18</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845</v>
      </c>
      <c r="B767" t="s">
        <v>7</v>
      </c>
      <c r="C767">
        <v>3</v>
      </c>
      <c r="D767">
        <v>46.9</v>
      </c>
      <c r="E767">
        <v>140.69999999999999</v>
      </c>
      <c r="F767" s="1">
        <v>45690</v>
      </c>
      <c r="G767" s="1">
        <v>45691</v>
      </c>
      <c r="H767" t="s">
        <v>8</v>
      </c>
      <c r="I767" t="s">
        <v>3</v>
      </c>
      <c r="J767">
        <v>5</v>
      </c>
      <c r="K767" t="s">
        <v>4</v>
      </c>
      <c r="L767" t="s">
        <v>18</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846</v>
      </c>
      <c r="B768" t="s">
        <v>29</v>
      </c>
      <c r="C768">
        <v>3</v>
      </c>
      <c r="D768">
        <v>45</v>
      </c>
      <c r="E768">
        <v>135</v>
      </c>
      <c r="F768" s="1">
        <v>45690</v>
      </c>
      <c r="G768" s="1">
        <v>45704</v>
      </c>
      <c r="H768" t="s">
        <v>8</v>
      </c>
      <c r="I768" t="s">
        <v>20</v>
      </c>
      <c r="J768">
        <v>4</v>
      </c>
      <c r="K768" t="s">
        <v>4</v>
      </c>
      <c r="L768" t="s">
        <v>18</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847</v>
      </c>
      <c r="B769" t="s">
        <v>24</v>
      </c>
      <c r="C769">
        <v>3</v>
      </c>
      <c r="D769">
        <v>45.2</v>
      </c>
      <c r="E769">
        <v>135.60000000000002</v>
      </c>
      <c r="F769" s="1">
        <v>45690</v>
      </c>
      <c r="G769" s="1">
        <v>45692</v>
      </c>
      <c r="H769" t="s">
        <v>8</v>
      </c>
      <c r="I769" t="s">
        <v>55</v>
      </c>
      <c r="J769">
        <v>5</v>
      </c>
      <c r="K769" t="s">
        <v>4</v>
      </c>
      <c r="L769" t="s">
        <v>18</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848</v>
      </c>
      <c r="B770" t="s">
        <v>17</v>
      </c>
      <c r="C770">
        <v>2</v>
      </c>
      <c r="D770">
        <v>60.1</v>
      </c>
      <c r="E770">
        <v>120.2</v>
      </c>
      <c r="F770" s="1">
        <v>45690</v>
      </c>
      <c r="G770" s="1">
        <v>45691</v>
      </c>
      <c r="H770" t="s">
        <v>12</v>
      </c>
      <c r="I770" t="s">
        <v>3</v>
      </c>
      <c r="J770">
        <v>5</v>
      </c>
      <c r="K770" t="s">
        <v>4</v>
      </c>
      <c r="L770" t="s">
        <v>18</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849</v>
      </c>
      <c r="B771" t="s">
        <v>54</v>
      </c>
      <c r="C771">
        <v>4</v>
      </c>
      <c r="D771">
        <v>118.7</v>
      </c>
      <c r="E771">
        <v>474.8</v>
      </c>
      <c r="F771" s="1">
        <v>45690</v>
      </c>
      <c r="G771" s="1">
        <v>45692</v>
      </c>
      <c r="H771" t="s">
        <v>12</v>
      </c>
      <c r="I771" t="s">
        <v>3</v>
      </c>
      <c r="J771">
        <v>4</v>
      </c>
      <c r="K771" t="s">
        <v>4</v>
      </c>
      <c r="L771" t="s">
        <v>18</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850</v>
      </c>
      <c r="B772" t="s">
        <v>31</v>
      </c>
      <c r="C772">
        <v>1</v>
      </c>
      <c r="D772">
        <v>57.8</v>
      </c>
      <c r="E772">
        <v>57.8</v>
      </c>
      <c r="F772" s="1">
        <v>45690</v>
      </c>
      <c r="G772" s="1">
        <v>45699</v>
      </c>
      <c r="H772" t="s">
        <v>12</v>
      </c>
      <c r="I772" t="s">
        <v>20</v>
      </c>
      <c r="J772">
        <v>4</v>
      </c>
      <c r="K772" t="s">
        <v>4</v>
      </c>
      <c r="L772" t="s">
        <v>18</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851</v>
      </c>
      <c r="B773" t="s">
        <v>17</v>
      </c>
      <c r="C773">
        <v>1</v>
      </c>
      <c r="D773">
        <v>19.5</v>
      </c>
      <c r="E773">
        <v>19.5</v>
      </c>
      <c r="F773" s="1">
        <v>45690</v>
      </c>
      <c r="G773" s="1">
        <v>45691</v>
      </c>
      <c r="H773" t="s">
        <v>8</v>
      </c>
      <c r="I773" t="s">
        <v>20</v>
      </c>
      <c r="J773">
        <v>3</v>
      </c>
      <c r="K773" t="s">
        <v>4</v>
      </c>
      <c r="L773" t="s">
        <v>18</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852</v>
      </c>
      <c r="B774" t="s">
        <v>54</v>
      </c>
      <c r="C774">
        <v>1</v>
      </c>
      <c r="D774">
        <v>42.6</v>
      </c>
      <c r="E774">
        <v>42.6</v>
      </c>
      <c r="F774" s="1">
        <v>45690</v>
      </c>
      <c r="G774" s="1">
        <v>45691</v>
      </c>
      <c r="H774" t="s">
        <v>8</v>
      </c>
      <c r="I774" t="s">
        <v>3</v>
      </c>
      <c r="J774">
        <v>3</v>
      </c>
      <c r="K774" t="s">
        <v>4</v>
      </c>
      <c r="L774" t="s">
        <v>18</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853</v>
      </c>
      <c r="B775" t="s">
        <v>24</v>
      </c>
      <c r="C775">
        <v>2</v>
      </c>
      <c r="D775">
        <v>74.8</v>
      </c>
      <c r="E775">
        <v>149.6</v>
      </c>
      <c r="F775" s="1">
        <v>45690</v>
      </c>
      <c r="G775" s="1">
        <v>45691</v>
      </c>
      <c r="H775" t="s">
        <v>12</v>
      </c>
      <c r="I775" t="s">
        <v>36</v>
      </c>
      <c r="J775">
        <v>5</v>
      </c>
      <c r="K775" t="s">
        <v>4</v>
      </c>
      <c r="L775" t="s">
        <v>349</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854</v>
      </c>
      <c r="B776" t="s">
        <v>29</v>
      </c>
      <c r="C776">
        <v>3</v>
      </c>
      <c r="D776">
        <v>32.5</v>
      </c>
      <c r="E776">
        <v>97.5</v>
      </c>
      <c r="F776" s="1">
        <v>45690</v>
      </c>
      <c r="G776" s="1">
        <v>45691</v>
      </c>
      <c r="H776" t="s">
        <v>8</v>
      </c>
      <c r="I776" t="s">
        <v>25</v>
      </c>
      <c r="J776">
        <v>2</v>
      </c>
      <c r="K776" t="s">
        <v>4</v>
      </c>
      <c r="L776" t="s">
        <v>83</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855</v>
      </c>
      <c r="B777" t="s">
        <v>11</v>
      </c>
      <c r="C777">
        <v>3</v>
      </c>
      <c r="D777">
        <v>60.5</v>
      </c>
      <c r="E777">
        <v>181.5</v>
      </c>
      <c r="F777" s="1">
        <v>45690</v>
      </c>
      <c r="G777" s="1">
        <v>45690</v>
      </c>
      <c r="H777" t="s">
        <v>12</v>
      </c>
      <c r="I777" t="s">
        <v>20</v>
      </c>
      <c r="J777">
        <v>5</v>
      </c>
      <c r="K777" t="s">
        <v>4</v>
      </c>
      <c r="L777" t="s">
        <v>173</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856</v>
      </c>
      <c r="B778" t="s">
        <v>7</v>
      </c>
      <c r="C778">
        <v>7</v>
      </c>
      <c r="D778">
        <v>57.2</v>
      </c>
      <c r="E778">
        <v>400.40000000000003</v>
      </c>
      <c r="F778" s="1">
        <v>45690</v>
      </c>
      <c r="G778" s="1">
        <v>45692</v>
      </c>
      <c r="H778" t="s">
        <v>2</v>
      </c>
      <c r="I778" t="s">
        <v>25</v>
      </c>
      <c r="J778">
        <v>4</v>
      </c>
      <c r="K778" t="s">
        <v>4</v>
      </c>
      <c r="L778" t="s">
        <v>173</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857</v>
      </c>
      <c r="B779" t="s">
        <v>113</v>
      </c>
      <c r="C779">
        <v>2</v>
      </c>
      <c r="D779">
        <v>112</v>
      </c>
      <c r="E779">
        <v>224</v>
      </c>
      <c r="F779" s="1">
        <v>45690</v>
      </c>
      <c r="G779" s="1">
        <v>45691</v>
      </c>
      <c r="H779" t="s">
        <v>12</v>
      </c>
      <c r="I779" t="s">
        <v>20</v>
      </c>
      <c r="J779">
        <v>3</v>
      </c>
      <c r="K779" t="s">
        <v>4</v>
      </c>
      <c r="L779" t="s">
        <v>37</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858</v>
      </c>
      <c r="B780" t="s">
        <v>27</v>
      </c>
      <c r="C780">
        <v>10</v>
      </c>
      <c r="D780">
        <v>49</v>
      </c>
      <c r="E780">
        <v>490</v>
      </c>
      <c r="F780" s="1">
        <v>45690</v>
      </c>
      <c r="G780" s="1">
        <v>45691</v>
      </c>
      <c r="H780" t="s">
        <v>74</v>
      </c>
      <c r="I780" t="s">
        <v>25</v>
      </c>
      <c r="J780">
        <v>3</v>
      </c>
      <c r="K780" t="s">
        <v>4</v>
      </c>
      <c r="L780" t="s">
        <v>40</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859</v>
      </c>
      <c r="B781" t="s">
        <v>1</v>
      </c>
      <c r="C781">
        <v>2</v>
      </c>
      <c r="D781">
        <v>33.700000000000003</v>
      </c>
      <c r="E781">
        <v>67.400000000000006</v>
      </c>
      <c r="F781" s="1">
        <v>45690</v>
      </c>
      <c r="G781" s="1">
        <v>45694</v>
      </c>
      <c r="H781" t="s">
        <v>12</v>
      </c>
      <c r="I781" t="s">
        <v>36</v>
      </c>
      <c r="J781">
        <v>4</v>
      </c>
      <c r="K781" t="s">
        <v>4</v>
      </c>
      <c r="L781" t="s">
        <v>40</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860</v>
      </c>
      <c r="B782" t="s">
        <v>17</v>
      </c>
      <c r="C782">
        <v>3</v>
      </c>
      <c r="D782">
        <v>35.6</v>
      </c>
      <c r="E782">
        <v>106.80000000000001</v>
      </c>
      <c r="F782" s="1">
        <v>45690</v>
      </c>
      <c r="G782" s="1">
        <v>45693</v>
      </c>
      <c r="H782" t="s">
        <v>12</v>
      </c>
      <c r="I782" t="s">
        <v>3</v>
      </c>
      <c r="J782">
        <v>5</v>
      </c>
      <c r="K782" t="s">
        <v>4</v>
      </c>
      <c r="L782" t="s">
        <v>40</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861</v>
      </c>
      <c r="B783" t="s">
        <v>17</v>
      </c>
      <c r="C783">
        <v>35</v>
      </c>
      <c r="D783">
        <v>30.4</v>
      </c>
      <c r="E783">
        <v>1064</v>
      </c>
      <c r="F783" s="1">
        <v>45691</v>
      </c>
      <c r="G783" s="1">
        <v>45691</v>
      </c>
      <c r="H783" t="s">
        <v>12</v>
      </c>
      <c r="I783" t="s">
        <v>3</v>
      </c>
      <c r="J783">
        <v>3</v>
      </c>
      <c r="K783" t="s">
        <v>4</v>
      </c>
      <c r="L783" t="s">
        <v>44</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862</v>
      </c>
      <c r="B784" t="s">
        <v>39</v>
      </c>
      <c r="C784">
        <v>12</v>
      </c>
      <c r="D784">
        <v>50.2</v>
      </c>
      <c r="E784">
        <v>602.40000000000009</v>
      </c>
      <c r="F784" s="1">
        <v>45691</v>
      </c>
      <c r="G784" s="1">
        <v>45692</v>
      </c>
      <c r="H784" t="s">
        <v>8</v>
      </c>
      <c r="I784" t="s">
        <v>55</v>
      </c>
      <c r="J784">
        <v>4</v>
      </c>
      <c r="K784" t="s">
        <v>4</v>
      </c>
      <c r="L784" t="s">
        <v>47</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863</v>
      </c>
      <c r="B785" t="s">
        <v>7</v>
      </c>
      <c r="C785">
        <v>2</v>
      </c>
      <c r="D785">
        <v>43.7</v>
      </c>
      <c r="E785">
        <v>87.4</v>
      </c>
      <c r="F785" s="1">
        <v>45691</v>
      </c>
      <c r="G785" s="1">
        <v>45693</v>
      </c>
      <c r="H785" t="s">
        <v>12</v>
      </c>
      <c r="I785" t="s">
        <v>3</v>
      </c>
      <c r="J785">
        <v>4</v>
      </c>
      <c r="K785" t="s">
        <v>4</v>
      </c>
      <c r="L785" t="s">
        <v>47</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864</v>
      </c>
      <c r="B786" t="s">
        <v>39</v>
      </c>
      <c r="C786">
        <v>1</v>
      </c>
      <c r="D786">
        <v>33.299999999999997</v>
      </c>
      <c r="E786">
        <v>33.299999999999997</v>
      </c>
      <c r="F786" s="1">
        <v>45691</v>
      </c>
      <c r="G786" s="1">
        <v>45692</v>
      </c>
      <c r="H786" t="s">
        <v>12</v>
      </c>
      <c r="I786" t="s">
        <v>25</v>
      </c>
      <c r="J786">
        <v>3</v>
      </c>
      <c r="K786" t="s">
        <v>4</v>
      </c>
      <c r="L786" t="s">
        <v>47</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865</v>
      </c>
      <c r="B787" t="s">
        <v>29</v>
      </c>
      <c r="C787">
        <v>4</v>
      </c>
      <c r="D787">
        <v>15.1</v>
      </c>
      <c r="E787">
        <v>60.4</v>
      </c>
      <c r="F787" s="1">
        <v>45691</v>
      </c>
      <c r="G787" s="1">
        <v>45693</v>
      </c>
      <c r="H787" t="s">
        <v>12</v>
      </c>
      <c r="I787" t="s">
        <v>55</v>
      </c>
      <c r="J787">
        <v>5</v>
      </c>
      <c r="K787" t="s">
        <v>4</v>
      </c>
      <c r="L787" t="s">
        <v>47</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866</v>
      </c>
      <c r="B788" t="s">
        <v>24</v>
      </c>
      <c r="C788">
        <v>5</v>
      </c>
      <c r="D788">
        <v>118.2</v>
      </c>
      <c r="E788">
        <v>591</v>
      </c>
      <c r="F788" s="1">
        <v>45691</v>
      </c>
      <c r="G788" s="1">
        <v>45692</v>
      </c>
      <c r="H788" t="s">
        <v>12</v>
      </c>
      <c r="I788" t="s">
        <v>36</v>
      </c>
      <c r="J788">
        <v>2</v>
      </c>
      <c r="K788" t="s">
        <v>4</v>
      </c>
      <c r="L788" t="s">
        <v>47</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867</v>
      </c>
      <c r="B789" t="s">
        <v>39</v>
      </c>
      <c r="C789">
        <v>3</v>
      </c>
      <c r="D789">
        <v>28.9</v>
      </c>
      <c r="E789">
        <v>86.699999999999989</v>
      </c>
      <c r="F789" s="1">
        <v>45691</v>
      </c>
      <c r="G789" s="1">
        <v>45693</v>
      </c>
      <c r="H789" t="s">
        <v>12</v>
      </c>
      <c r="I789" t="s">
        <v>25</v>
      </c>
      <c r="J789">
        <v>3</v>
      </c>
      <c r="K789" t="s">
        <v>4</v>
      </c>
      <c r="L789" t="s">
        <v>47</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868</v>
      </c>
      <c r="B790" t="s">
        <v>17</v>
      </c>
      <c r="C790">
        <v>3</v>
      </c>
      <c r="D790">
        <v>55.6</v>
      </c>
      <c r="E790">
        <v>166.8</v>
      </c>
      <c r="F790" s="1">
        <v>45691</v>
      </c>
      <c r="G790" s="1">
        <v>45692</v>
      </c>
      <c r="H790" t="s">
        <v>8</v>
      </c>
      <c r="I790" t="s">
        <v>3</v>
      </c>
      <c r="J790">
        <v>3</v>
      </c>
      <c r="K790" t="s">
        <v>4</v>
      </c>
      <c r="L790" t="s">
        <v>47</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869</v>
      </c>
      <c r="B791" t="s">
        <v>31</v>
      </c>
      <c r="C791">
        <v>4</v>
      </c>
      <c r="D791">
        <v>25.6</v>
      </c>
      <c r="E791">
        <v>102.4</v>
      </c>
      <c r="F791" s="1">
        <v>45691</v>
      </c>
      <c r="G791" s="1">
        <v>45693</v>
      </c>
      <c r="H791" t="s">
        <v>12</v>
      </c>
      <c r="I791" t="s">
        <v>3</v>
      </c>
      <c r="J791">
        <v>3</v>
      </c>
      <c r="K791" t="s">
        <v>4</v>
      </c>
      <c r="L791" t="s">
        <v>47</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870</v>
      </c>
      <c r="B792" t="s">
        <v>27</v>
      </c>
      <c r="C792">
        <v>3</v>
      </c>
      <c r="D792">
        <v>31.3</v>
      </c>
      <c r="E792">
        <v>93.9</v>
      </c>
      <c r="F792" s="1">
        <v>45691</v>
      </c>
      <c r="G792" s="1">
        <v>45692</v>
      </c>
      <c r="H792" t="s">
        <v>8</v>
      </c>
      <c r="I792" t="s">
        <v>3</v>
      </c>
      <c r="J792">
        <v>4</v>
      </c>
      <c r="K792" t="s">
        <v>4</v>
      </c>
      <c r="L792" t="s">
        <v>88</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871</v>
      </c>
      <c r="B793" t="s">
        <v>1</v>
      </c>
      <c r="C793">
        <v>3</v>
      </c>
      <c r="D793">
        <v>22.1</v>
      </c>
      <c r="E793">
        <v>66.300000000000011</v>
      </c>
      <c r="F793" s="1">
        <v>45691</v>
      </c>
      <c r="G793" s="1">
        <v>45695</v>
      </c>
      <c r="H793" t="s">
        <v>8</v>
      </c>
      <c r="I793" t="s">
        <v>3</v>
      </c>
      <c r="J793">
        <v>4</v>
      </c>
      <c r="K793" t="s">
        <v>4</v>
      </c>
      <c r="L793" t="s">
        <v>88</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872</v>
      </c>
      <c r="B794" t="s">
        <v>11</v>
      </c>
      <c r="C794">
        <v>14</v>
      </c>
      <c r="D794">
        <v>99.4</v>
      </c>
      <c r="E794">
        <v>1391.6000000000001</v>
      </c>
      <c r="F794" s="1">
        <v>45691</v>
      </c>
      <c r="G794" s="1">
        <v>45692</v>
      </c>
      <c r="H794" t="s">
        <v>8</v>
      </c>
      <c r="I794" t="s">
        <v>20</v>
      </c>
      <c r="J794">
        <v>4</v>
      </c>
      <c r="K794" t="s">
        <v>4</v>
      </c>
      <c r="L794" t="s">
        <v>62</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873</v>
      </c>
      <c r="B795" t="s">
        <v>27</v>
      </c>
      <c r="C795">
        <v>6</v>
      </c>
      <c r="D795">
        <v>66.599999999999994</v>
      </c>
      <c r="E795">
        <v>399.59999999999997</v>
      </c>
      <c r="F795" s="1">
        <v>45691</v>
      </c>
      <c r="G795" s="1">
        <v>45692</v>
      </c>
      <c r="H795" t="s">
        <v>12</v>
      </c>
      <c r="I795" t="s">
        <v>3</v>
      </c>
      <c r="J795">
        <v>4</v>
      </c>
      <c r="K795" t="s">
        <v>4</v>
      </c>
      <c r="L795" t="s">
        <v>62</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874</v>
      </c>
      <c r="B796" t="s">
        <v>29</v>
      </c>
      <c r="C796">
        <v>2</v>
      </c>
      <c r="D796">
        <v>22.6</v>
      </c>
      <c r="E796">
        <v>45.2</v>
      </c>
      <c r="F796" s="1">
        <v>45691</v>
      </c>
      <c r="G796" s="1">
        <v>45694</v>
      </c>
      <c r="H796" t="s">
        <v>8</v>
      </c>
      <c r="I796" t="s">
        <v>3</v>
      </c>
      <c r="J796">
        <v>4</v>
      </c>
      <c r="K796" t="s">
        <v>4</v>
      </c>
      <c r="L796" t="s">
        <v>62</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875</v>
      </c>
      <c r="B797" t="s">
        <v>11</v>
      </c>
      <c r="C797">
        <v>18</v>
      </c>
      <c r="D797">
        <v>66.8</v>
      </c>
      <c r="E797">
        <v>1202.3999999999999</v>
      </c>
      <c r="F797" s="1">
        <v>45691</v>
      </c>
      <c r="G797" s="1">
        <v>45692</v>
      </c>
      <c r="H797" t="s">
        <v>12</v>
      </c>
      <c r="I797" t="s">
        <v>3</v>
      </c>
      <c r="J797">
        <v>2</v>
      </c>
      <c r="K797" t="s">
        <v>4</v>
      </c>
      <c r="L797" t="s">
        <v>67</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876</v>
      </c>
      <c r="B798" t="s">
        <v>1</v>
      </c>
      <c r="C798">
        <v>4</v>
      </c>
      <c r="D798">
        <v>20.8</v>
      </c>
      <c r="E798">
        <v>83.2</v>
      </c>
      <c r="F798" s="1">
        <v>45691</v>
      </c>
      <c r="G798" s="1">
        <v>45698</v>
      </c>
      <c r="H798" t="s">
        <v>8</v>
      </c>
      <c r="I798" t="s">
        <v>20</v>
      </c>
      <c r="J798">
        <v>2</v>
      </c>
      <c r="K798" t="s">
        <v>4</v>
      </c>
      <c r="L798" t="s">
        <v>9</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877</v>
      </c>
      <c r="B799" t="s">
        <v>11</v>
      </c>
      <c r="C799">
        <v>7</v>
      </c>
      <c r="D799">
        <v>102.5</v>
      </c>
      <c r="E799">
        <v>717.5</v>
      </c>
      <c r="F799" s="1">
        <v>45691</v>
      </c>
      <c r="G799" s="1">
        <v>45692</v>
      </c>
      <c r="H799" t="s">
        <v>12</v>
      </c>
      <c r="I799" t="s">
        <v>55</v>
      </c>
      <c r="J799">
        <v>5</v>
      </c>
      <c r="K799" t="s">
        <v>4</v>
      </c>
      <c r="L799" t="s">
        <v>18</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878</v>
      </c>
      <c r="B800" t="s">
        <v>1</v>
      </c>
      <c r="C800">
        <v>18</v>
      </c>
      <c r="D800">
        <v>24.8</v>
      </c>
      <c r="E800">
        <v>446.40000000000003</v>
      </c>
      <c r="F800" s="1">
        <v>45691</v>
      </c>
      <c r="G800" s="1">
        <v>45695</v>
      </c>
      <c r="H800" t="s">
        <v>12</v>
      </c>
      <c r="I800" t="s">
        <v>3</v>
      </c>
      <c r="J800">
        <v>4</v>
      </c>
      <c r="K800" t="s">
        <v>4</v>
      </c>
      <c r="L800" t="s">
        <v>18</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879</v>
      </c>
      <c r="B801" t="s">
        <v>17</v>
      </c>
      <c r="C801">
        <v>31</v>
      </c>
      <c r="D801">
        <v>31.4</v>
      </c>
      <c r="E801">
        <v>973.4</v>
      </c>
      <c r="F801" s="1">
        <v>45691</v>
      </c>
      <c r="G801" s="1">
        <v>45692</v>
      </c>
      <c r="H801" t="s">
        <v>12</v>
      </c>
      <c r="I801" t="s">
        <v>36</v>
      </c>
      <c r="J801">
        <v>4</v>
      </c>
      <c r="K801" t="s">
        <v>4</v>
      </c>
      <c r="L801" t="s">
        <v>18</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880</v>
      </c>
      <c r="B802" t="s">
        <v>31</v>
      </c>
      <c r="C802">
        <v>5</v>
      </c>
      <c r="D802">
        <v>59.3</v>
      </c>
      <c r="E802">
        <v>296.5</v>
      </c>
      <c r="F802" s="1">
        <v>45691</v>
      </c>
      <c r="G802" s="1">
        <v>45694</v>
      </c>
      <c r="H802" t="s">
        <v>8</v>
      </c>
      <c r="I802" t="s">
        <v>20</v>
      </c>
      <c r="J802">
        <v>5</v>
      </c>
      <c r="K802" t="s">
        <v>4</v>
      </c>
      <c r="L802" t="s">
        <v>530</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881</v>
      </c>
      <c r="B803" t="s">
        <v>52</v>
      </c>
      <c r="C803">
        <v>6</v>
      </c>
      <c r="D803">
        <v>39</v>
      </c>
      <c r="E803">
        <v>234</v>
      </c>
      <c r="F803" s="1">
        <v>45691</v>
      </c>
      <c r="G803" s="1">
        <v>45694</v>
      </c>
      <c r="H803" t="s">
        <v>8</v>
      </c>
      <c r="I803" t="s">
        <v>20</v>
      </c>
      <c r="J803">
        <v>4</v>
      </c>
      <c r="K803" t="s">
        <v>4</v>
      </c>
      <c r="L803" t="s">
        <v>40</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882</v>
      </c>
      <c r="B804" t="s">
        <v>22</v>
      </c>
      <c r="C804">
        <v>6</v>
      </c>
      <c r="D804">
        <v>98.6</v>
      </c>
      <c r="E804">
        <v>591.59999999999991</v>
      </c>
      <c r="F804" s="1">
        <v>45691</v>
      </c>
      <c r="G804" s="1">
        <v>45693</v>
      </c>
      <c r="H804" t="s">
        <v>12</v>
      </c>
      <c r="I804" t="s">
        <v>20</v>
      </c>
      <c r="J804">
        <v>4</v>
      </c>
      <c r="K804" t="s">
        <v>4</v>
      </c>
      <c r="L804" t="s">
        <v>40</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883</v>
      </c>
      <c r="B805" t="s">
        <v>29</v>
      </c>
      <c r="C805">
        <v>1</v>
      </c>
      <c r="D805">
        <v>20</v>
      </c>
      <c r="E805">
        <v>20</v>
      </c>
      <c r="F805" s="1">
        <v>45692</v>
      </c>
      <c r="G805" s="1">
        <v>45693</v>
      </c>
      <c r="H805" t="s">
        <v>8</v>
      </c>
      <c r="I805" t="s">
        <v>36</v>
      </c>
      <c r="J805">
        <v>5</v>
      </c>
      <c r="K805" t="s">
        <v>4</v>
      </c>
      <c r="L805" t="s">
        <v>47</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884</v>
      </c>
      <c r="B806" t="s">
        <v>7</v>
      </c>
      <c r="C806">
        <v>2</v>
      </c>
      <c r="D806">
        <v>42.9</v>
      </c>
      <c r="E806">
        <v>85.8</v>
      </c>
      <c r="F806" s="1">
        <v>45692</v>
      </c>
      <c r="G806" s="1">
        <v>45694</v>
      </c>
      <c r="H806" t="s">
        <v>12</v>
      </c>
      <c r="I806" t="s">
        <v>3</v>
      </c>
      <c r="J806">
        <v>5</v>
      </c>
      <c r="K806" t="s">
        <v>4</v>
      </c>
      <c r="L806" t="s">
        <v>47</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885</v>
      </c>
      <c r="B807" t="s">
        <v>27</v>
      </c>
      <c r="C807">
        <v>7</v>
      </c>
      <c r="D807">
        <v>55.6</v>
      </c>
      <c r="E807">
        <v>389.2</v>
      </c>
      <c r="F807" s="1">
        <v>45692</v>
      </c>
      <c r="G807" s="1">
        <v>45694</v>
      </c>
      <c r="H807" t="s">
        <v>12</v>
      </c>
      <c r="I807" t="s">
        <v>25</v>
      </c>
      <c r="J807">
        <v>3</v>
      </c>
      <c r="K807" t="s">
        <v>4</v>
      </c>
      <c r="L807" t="s">
        <v>47</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886</v>
      </c>
      <c r="B808" t="s">
        <v>29</v>
      </c>
      <c r="C808">
        <v>4</v>
      </c>
      <c r="D808">
        <v>19.2</v>
      </c>
      <c r="E808">
        <v>76.8</v>
      </c>
      <c r="F808" s="1">
        <v>45692</v>
      </c>
      <c r="G808" s="1">
        <v>45697</v>
      </c>
      <c r="H808" t="s">
        <v>12</v>
      </c>
      <c r="I808" t="s">
        <v>3</v>
      </c>
      <c r="J808">
        <v>4</v>
      </c>
      <c r="K808" t="s">
        <v>4</v>
      </c>
      <c r="L808" t="s">
        <v>414</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887</v>
      </c>
      <c r="B809" t="s">
        <v>22</v>
      </c>
      <c r="C809">
        <v>2</v>
      </c>
      <c r="D809">
        <v>28.8</v>
      </c>
      <c r="E809">
        <v>57.6</v>
      </c>
      <c r="F809" s="1">
        <v>45692</v>
      </c>
      <c r="G809" s="1">
        <v>45694</v>
      </c>
      <c r="H809" t="s">
        <v>8</v>
      </c>
      <c r="I809" t="s">
        <v>20</v>
      </c>
      <c r="J809">
        <v>4</v>
      </c>
      <c r="K809" t="s">
        <v>4</v>
      </c>
      <c r="L809" t="s">
        <v>93</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888</v>
      </c>
      <c r="B810" t="s">
        <v>17</v>
      </c>
      <c r="C810">
        <v>1</v>
      </c>
      <c r="D810">
        <v>29.7</v>
      </c>
      <c r="E810">
        <v>29.7</v>
      </c>
      <c r="F810" s="1">
        <v>45692</v>
      </c>
      <c r="G810" s="1">
        <v>45694</v>
      </c>
      <c r="H810" t="s">
        <v>12</v>
      </c>
      <c r="I810" t="s">
        <v>25</v>
      </c>
      <c r="J810">
        <v>2</v>
      </c>
      <c r="K810" t="s">
        <v>4</v>
      </c>
      <c r="L810" t="s">
        <v>98</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889</v>
      </c>
      <c r="B811" t="s">
        <v>24</v>
      </c>
      <c r="C811">
        <v>6</v>
      </c>
      <c r="D811">
        <v>63.3</v>
      </c>
      <c r="E811">
        <v>379.79999999999995</v>
      </c>
      <c r="F811" s="1">
        <v>45692</v>
      </c>
      <c r="G811" s="1">
        <v>45693</v>
      </c>
      <c r="H811" t="s">
        <v>2</v>
      </c>
      <c r="I811" t="s">
        <v>3</v>
      </c>
      <c r="J811">
        <v>5</v>
      </c>
      <c r="K811" t="s">
        <v>4</v>
      </c>
      <c r="L811" t="s">
        <v>100</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890</v>
      </c>
      <c r="B812" t="s">
        <v>17</v>
      </c>
      <c r="C812">
        <v>1</v>
      </c>
      <c r="D812">
        <v>46</v>
      </c>
      <c r="E812">
        <v>46</v>
      </c>
      <c r="F812" s="1">
        <v>45692</v>
      </c>
      <c r="G812" s="1">
        <v>45693</v>
      </c>
      <c r="H812" t="s">
        <v>12</v>
      </c>
      <c r="I812" t="s">
        <v>3</v>
      </c>
      <c r="J812">
        <v>5</v>
      </c>
      <c r="K812" t="s">
        <v>4</v>
      </c>
      <c r="L812" t="s">
        <v>100</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891</v>
      </c>
      <c r="B813" t="s">
        <v>52</v>
      </c>
      <c r="C813">
        <v>3</v>
      </c>
      <c r="D813">
        <v>38</v>
      </c>
      <c r="E813">
        <v>114</v>
      </c>
      <c r="F813" s="1">
        <v>45692</v>
      </c>
      <c r="G813" s="1">
        <v>45694</v>
      </c>
      <c r="H813" t="s">
        <v>12</v>
      </c>
      <c r="I813" t="s">
        <v>20</v>
      </c>
      <c r="J813">
        <v>5</v>
      </c>
      <c r="K813" t="s">
        <v>4</v>
      </c>
      <c r="L813" t="s">
        <v>100</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892</v>
      </c>
      <c r="B814" t="s">
        <v>39</v>
      </c>
      <c r="C814">
        <v>13</v>
      </c>
      <c r="D814">
        <v>34.6</v>
      </c>
      <c r="E814">
        <v>449.8</v>
      </c>
      <c r="F814" s="1">
        <v>45692</v>
      </c>
      <c r="G814" s="1">
        <v>45694</v>
      </c>
      <c r="H814" t="s">
        <v>12</v>
      </c>
      <c r="I814" t="s">
        <v>3</v>
      </c>
      <c r="J814">
        <v>3</v>
      </c>
      <c r="K814" t="s">
        <v>4</v>
      </c>
      <c r="L814" t="s">
        <v>100</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893</v>
      </c>
      <c r="B815" t="s">
        <v>15</v>
      </c>
      <c r="C815">
        <v>10</v>
      </c>
      <c r="D815">
        <v>79.7</v>
      </c>
      <c r="E815">
        <v>797</v>
      </c>
      <c r="F815" s="1">
        <v>45692</v>
      </c>
      <c r="G815" s="1">
        <v>45693</v>
      </c>
      <c r="H815" t="s">
        <v>12</v>
      </c>
      <c r="I815" t="s">
        <v>55</v>
      </c>
      <c r="J815">
        <v>3</v>
      </c>
      <c r="K815" t="s">
        <v>4</v>
      </c>
      <c r="L815" t="s">
        <v>100</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894</v>
      </c>
      <c r="B816" t="s">
        <v>29</v>
      </c>
      <c r="C816">
        <v>8</v>
      </c>
      <c r="D816">
        <v>30.5</v>
      </c>
      <c r="E816">
        <v>244</v>
      </c>
      <c r="F816" s="1">
        <v>45692</v>
      </c>
      <c r="G816" s="1">
        <v>45696</v>
      </c>
      <c r="H816" t="s">
        <v>8</v>
      </c>
      <c r="I816" t="s">
        <v>36</v>
      </c>
      <c r="J816">
        <v>4</v>
      </c>
      <c r="K816" t="s">
        <v>4</v>
      </c>
      <c r="L816" t="s">
        <v>9</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895</v>
      </c>
      <c r="B817" t="s">
        <v>1</v>
      </c>
      <c r="C817">
        <v>2</v>
      </c>
      <c r="D817">
        <v>20.8</v>
      </c>
      <c r="E817">
        <v>41.6</v>
      </c>
      <c r="F817" s="1">
        <v>45692</v>
      </c>
      <c r="G817" s="1">
        <v>45693</v>
      </c>
      <c r="H817" t="s">
        <v>12</v>
      </c>
      <c r="I817" t="s">
        <v>3</v>
      </c>
      <c r="J817">
        <v>4</v>
      </c>
      <c r="K817" t="s">
        <v>4</v>
      </c>
      <c r="L817" t="s">
        <v>13</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896</v>
      </c>
      <c r="B818" t="s">
        <v>52</v>
      </c>
      <c r="C818">
        <v>7</v>
      </c>
      <c r="D818">
        <v>48.5</v>
      </c>
      <c r="E818">
        <v>339.5</v>
      </c>
      <c r="F818" s="1">
        <v>45692</v>
      </c>
      <c r="G818" s="1">
        <v>45696</v>
      </c>
      <c r="H818" t="s">
        <v>12</v>
      </c>
      <c r="I818" t="s">
        <v>25</v>
      </c>
      <c r="J818">
        <v>5</v>
      </c>
      <c r="K818" t="s">
        <v>4</v>
      </c>
      <c r="L818" t="s">
        <v>13</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897</v>
      </c>
      <c r="B819" t="s">
        <v>11</v>
      </c>
      <c r="C819">
        <v>4</v>
      </c>
      <c r="D819">
        <v>61.8</v>
      </c>
      <c r="E819">
        <v>247.2</v>
      </c>
      <c r="F819" s="1">
        <v>45692</v>
      </c>
      <c r="G819" s="1">
        <v>45696</v>
      </c>
      <c r="H819" t="s">
        <v>12</v>
      </c>
      <c r="I819" t="s">
        <v>55</v>
      </c>
      <c r="J819">
        <v>4</v>
      </c>
      <c r="K819" t="s">
        <v>4</v>
      </c>
      <c r="L819" t="s">
        <v>132</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898</v>
      </c>
      <c r="B820" t="s">
        <v>39</v>
      </c>
      <c r="C820">
        <v>1</v>
      </c>
      <c r="D820">
        <v>46.1</v>
      </c>
      <c r="E820">
        <v>46.1</v>
      </c>
      <c r="F820" s="1">
        <v>45692</v>
      </c>
      <c r="G820" s="1">
        <v>45693</v>
      </c>
      <c r="H820" t="s">
        <v>74</v>
      </c>
      <c r="I820" t="s">
        <v>25</v>
      </c>
      <c r="J820">
        <v>4</v>
      </c>
      <c r="K820" t="s">
        <v>4</v>
      </c>
      <c r="L820" t="s">
        <v>18</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899</v>
      </c>
      <c r="B821" t="s">
        <v>17</v>
      </c>
      <c r="C821">
        <v>6</v>
      </c>
      <c r="D821">
        <v>44</v>
      </c>
      <c r="E821">
        <v>264</v>
      </c>
      <c r="F821" s="1">
        <v>45692</v>
      </c>
      <c r="G821" s="1">
        <v>45693</v>
      </c>
      <c r="H821" t="s">
        <v>12</v>
      </c>
      <c r="I821" t="s">
        <v>3</v>
      </c>
      <c r="J821">
        <v>4</v>
      </c>
      <c r="K821" t="s">
        <v>4</v>
      </c>
      <c r="L821" t="s">
        <v>18</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900</v>
      </c>
      <c r="B822" t="s">
        <v>131</v>
      </c>
      <c r="C822">
        <v>2</v>
      </c>
      <c r="D822">
        <v>95.7</v>
      </c>
      <c r="E822">
        <v>191.4</v>
      </c>
      <c r="F822" s="1">
        <v>45692</v>
      </c>
      <c r="G822" s="1">
        <v>45698</v>
      </c>
      <c r="H822" t="s">
        <v>12</v>
      </c>
      <c r="I822" t="s">
        <v>36</v>
      </c>
      <c r="J822">
        <v>5</v>
      </c>
      <c r="K822" t="s">
        <v>4</v>
      </c>
      <c r="L822" t="s">
        <v>18</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901</v>
      </c>
      <c r="B823" t="s">
        <v>27</v>
      </c>
      <c r="C823">
        <v>5</v>
      </c>
      <c r="D823">
        <v>46.4</v>
      </c>
      <c r="E823">
        <v>232</v>
      </c>
      <c r="F823" s="1">
        <v>45692</v>
      </c>
      <c r="G823" s="1">
        <v>45695</v>
      </c>
      <c r="H823" t="s">
        <v>12</v>
      </c>
      <c r="I823" t="s">
        <v>3</v>
      </c>
      <c r="J823">
        <v>4</v>
      </c>
      <c r="K823" t="s">
        <v>4</v>
      </c>
      <c r="L823" t="s">
        <v>18</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902</v>
      </c>
      <c r="B824" t="s">
        <v>24</v>
      </c>
      <c r="C824">
        <v>2</v>
      </c>
      <c r="D824">
        <v>47.2</v>
      </c>
      <c r="E824">
        <v>94.4</v>
      </c>
      <c r="F824" s="1">
        <v>45692</v>
      </c>
      <c r="G824" s="1">
        <v>45694</v>
      </c>
      <c r="H824" t="s">
        <v>12</v>
      </c>
      <c r="I824" t="s">
        <v>3</v>
      </c>
      <c r="J824">
        <v>5</v>
      </c>
      <c r="K824" t="s">
        <v>4</v>
      </c>
      <c r="L824" t="s">
        <v>18</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903</v>
      </c>
      <c r="B825" t="s">
        <v>27</v>
      </c>
      <c r="C825">
        <v>2</v>
      </c>
      <c r="D825">
        <v>58.6</v>
      </c>
      <c r="E825">
        <v>117.2</v>
      </c>
      <c r="F825" s="1">
        <v>45692</v>
      </c>
      <c r="G825" s="1">
        <v>45693</v>
      </c>
      <c r="H825" t="s">
        <v>12</v>
      </c>
      <c r="I825" t="s">
        <v>25</v>
      </c>
      <c r="J825">
        <v>3</v>
      </c>
      <c r="K825" t="s">
        <v>4</v>
      </c>
      <c r="L825" t="s">
        <v>18</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904</v>
      </c>
      <c r="B826" t="s">
        <v>17</v>
      </c>
      <c r="C826">
        <v>3</v>
      </c>
      <c r="D826">
        <v>57</v>
      </c>
      <c r="E826">
        <v>171</v>
      </c>
      <c r="F826" s="1">
        <v>45692</v>
      </c>
      <c r="G826" s="1">
        <v>45693</v>
      </c>
      <c r="H826" t="s">
        <v>8</v>
      </c>
      <c r="I826" t="s">
        <v>3</v>
      </c>
      <c r="J826">
        <v>5</v>
      </c>
      <c r="K826" t="s">
        <v>4</v>
      </c>
      <c r="L826" t="s">
        <v>18</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905</v>
      </c>
      <c r="B827" t="s">
        <v>29</v>
      </c>
      <c r="C827">
        <v>4</v>
      </c>
      <c r="D827">
        <v>28.9</v>
      </c>
      <c r="E827">
        <v>115.6</v>
      </c>
      <c r="F827" s="1">
        <v>45692</v>
      </c>
      <c r="G827" s="1">
        <v>45696</v>
      </c>
      <c r="H827" t="s">
        <v>8</v>
      </c>
      <c r="I827" t="s">
        <v>25</v>
      </c>
      <c r="J827">
        <v>4</v>
      </c>
      <c r="K827" t="s">
        <v>4</v>
      </c>
      <c r="L827" t="s">
        <v>18</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906</v>
      </c>
      <c r="B828" t="s">
        <v>54</v>
      </c>
      <c r="C828">
        <v>5</v>
      </c>
      <c r="D828">
        <v>60.7</v>
      </c>
      <c r="E828">
        <v>303.5</v>
      </c>
      <c r="F828" s="1">
        <v>45692</v>
      </c>
      <c r="G828" s="1">
        <v>45696</v>
      </c>
      <c r="H828" t="s">
        <v>2</v>
      </c>
      <c r="I828" t="s">
        <v>20</v>
      </c>
      <c r="J828">
        <v>3</v>
      </c>
      <c r="K828" t="s">
        <v>4</v>
      </c>
      <c r="L828" t="s">
        <v>18</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907</v>
      </c>
      <c r="B829" t="s">
        <v>24</v>
      </c>
      <c r="C829">
        <v>5</v>
      </c>
      <c r="D829">
        <v>60.8</v>
      </c>
      <c r="E829">
        <v>304</v>
      </c>
      <c r="F829" s="1">
        <v>45692</v>
      </c>
      <c r="G829" s="1">
        <v>45696</v>
      </c>
      <c r="H829" t="s">
        <v>8</v>
      </c>
      <c r="I829" t="s">
        <v>3</v>
      </c>
      <c r="J829">
        <v>3</v>
      </c>
      <c r="K829" t="s">
        <v>4</v>
      </c>
      <c r="L829" t="s">
        <v>18</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908</v>
      </c>
      <c r="B830" t="s">
        <v>24</v>
      </c>
      <c r="C830">
        <v>5</v>
      </c>
      <c r="D830">
        <v>64.599999999999994</v>
      </c>
      <c r="E830">
        <v>323</v>
      </c>
      <c r="F830" s="1">
        <v>45692</v>
      </c>
      <c r="G830" s="1">
        <v>45693</v>
      </c>
      <c r="H830" t="s">
        <v>12</v>
      </c>
      <c r="I830" t="s">
        <v>36</v>
      </c>
      <c r="J830">
        <v>4</v>
      </c>
      <c r="K830" t="s">
        <v>4</v>
      </c>
      <c r="L830" t="s">
        <v>18</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909</v>
      </c>
      <c r="B831" t="s">
        <v>29</v>
      </c>
      <c r="C831">
        <v>1</v>
      </c>
      <c r="D831">
        <v>21.9</v>
      </c>
      <c r="E831">
        <v>21.9</v>
      </c>
      <c r="F831" s="1">
        <v>45692</v>
      </c>
      <c r="G831" s="1">
        <v>45695</v>
      </c>
      <c r="H831" t="s">
        <v>8</v>
      </c>
      <c r="I831" t="s">
        <v>20</v>
      </c>
      <c r="J831">
        <v>5</v>
      </c>
      <c r="K831" t="s">
        <v>4</v>
      </c>
      <c r="L831" t="s">
        <v>34</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910</v>
      </c>
      <c r="B832" t="s">
        <v>17</v>
      </c>
      <c r="C832">
        <v>12</v>
      </c>
      <c r="D832">
        <v>33.4</v>
      </c>
      <c r="E832">
        <v>400.79999999999995</v>
      </c>
      <c r="F832" s="1">
        <v>45692</v>
      </c>
      <c r="G832" s="1">
        <v>45694</v>
      </c>
      <c r="H832" t="s">
        <v>12</v>
      </c>
      <c r="I832" t="s">
        <v>3</v>
      </c>
      <c r="J832">
        <v>4</v>
      </c>
      <c r="K832" t="s">
        <v>4</v>
      </c>
      <c r="L832" t="s">
        <v>143</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911</v>
      </c>
      <c r="B833" t="s">
        <v>11</v>
      </c>
      <c r="C833">
        <v>1</v>
      </c>
      <c r="D833">
        <v>51.7</v>
      </c>
      <c r="E833">
        <v>51.7</v>
      </c>
      <c r="F833" s="1">
        <v>45692</v>
      </c>
      <c r="G833" s="1">
        <v>45693</v>
      </c>
      <c r="H833" t="s">
        <v>2</v>
      </c>
      <c r="I833" t="s">
        <v>3</v>
      </c>
      <c r="J833">
        <v>4</v>
      </c>
      <c r="K833" t="s">
        <v>4</v>
      </c>
      <c r="L833" t="s">
        <v>40</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912</v>
      </c>
      <c r="B834" t="s">
        <v>7</v>
      </c>
      <c r="C834">
        <v>4</v>
      </c>
      <c r="D834">
        <v>84.9</v>
      </c>
      <c r="E834">
        <v>339.6</v>
      </c>
      <c r="F834" s="1">
        <v>45692</v>
      </c>
      <c r="G834" s="1">
        <v>45693</v>
      </c>
      <c r="H834" t="s">
        <v>12</v>
      </c>
      <c r="I834" t="s">
        <v>20</v>
      </c>
      <c r="J834">
        <v>3</v>
      </c>
      <c r="K834" t="s">
        <v>4</v>
      </c>
      <c r="L834" t="s">
        <v>40</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913</v>
      </c>
      <c r="B835" t="s">
        <v>7</v>
      </c>
      <c r="C835">
        <v>11</v>
      </c>
      <c r="D835">
        <v>62.3</v>
      </c>
      <c r="E835">
        <v>685.3</v>
      </c>
      <c r="F835" s="1">
        <v>45692</v>
      </c>
      <c r="G835" s="1">
        <v>45693</v>
      </c>
      <c r="H835" t="s">
        <v>12</v>
      </c>
      <c r="I835" t="s">
        <v>25</v>
      </c>
      <c r="J835">
        <v>5</v>
      </c>
      <c r="K835" t="s">
        <v>4</v>
      </c>
      <c r="L835" t="s">
        <v>44</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914</v>
      </c>
      <c r="B836" t="s">
        <v>17</v>
      </c>
      <c r="C836">
        <v>1</v>
      </c>
      <c r="D836">
        <v>50.7</v>
      </c>
      <c r="E836">
        <v>50.7</v>
      </c>
      <c r="F836" s="1">
        <v>45692</v>
      </c>
      <c r="G836" s="1">
        <v>45694</v>
      </c>
      <c r="H836" t="s">
        <v>8</v>
      </c>
      <c r="I836" t="s">
        <v>25</v>
      </c>
      <c r="J836">
        <v>5</v>
      </c>
      <c r="K836" t="s">
        <v>4</v>
      </c>
      <c r="L836" t="s">
        <v>47</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915</v>
      </c>
      <c r="B837" t="s">
        <v>131</v>
      </c>
      <c r="C837">
        <v>1</v>
      </c>
      <c r="D837">
        <v>39.5</v>
      </c>
      <c r="E837">
        <v>39.5</v>
      </c>
      <c r="F837" s="1">
        <v>45692</v>
      </c>
      <c r="G837" s="1">
        <v>45693</v>
      </c>
      <c r="H837" t="s">
        <v>8</v>
      </c>
      <c r="I837" t="s">
        <v>55</v>
      </c>
      <c r="J837">
        <v>3</v>
      </c>
      <c r="K837" t="s">
        <v>4</v>
      </c>
      <c r="L837" t="s">
        <v>47</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916</v>
      </c>
      <c r="B838" t="s">
        <v>54</v>
      </c>
      <c r="C838">
        <v>3</v>
      </c>
      <c r="D838">
        <v>30.9</v>
      </c>
      <c r="E838">
        <v>92.699999999999989</v>
      </c>
      <c r="F838" s="1">
        <v>45692</v>
      </c>
      <c r="G838" s="1">
        <v>45693</v>
      </c>
      <c r="H838" t="s">
        <v>2</v>
      </c>
      <c r="I838" t="s">
        <v>55</v>
      </c>
      <c r="J838">
        <v>5</v>
      </c>
      <c r="K838" t="s">
        <v>4</v>
      </c>
      <c r="L838" t="s">
        <v>47</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917</v>
      </c>
      <c r="B839" t="s">
        <v>7</v>
      </c>
      <c r="C839">
        <v>7</v>
      </c>
      <c r="D839">
        <v>36.4</v>
      </c>
      <c r="E839">
        <v>254.79999999999998</v>
      </c>
      <c r="F839" s="1">
        <v>45692</v>
      </c>
      <c r="G839" s="1">
        <v>45695</v>
      </c>
      <c r="H839" t="s">
        <v>12</v>
      </c>
      <c r="I839" t="s">
        <v>3</v>
      </c>
      <c r="J839">
        <v>5</v>
      </c>
      <c r="K839" t="s">
        <v>4</v>
      </c>
      <c r="L839" t="s">
        <v>47</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918</v>
      </c>
      <c r="B840" t="s">
        <v>24</v>
      </c>
      <c r="C840">
        <v>8</v>
      </c>
      <c r="D840">
        <v>105.6</v>
      </c>
      <c r="E840">
        <v>844.8</v>
      </c>
      <c r="F840" s="1">
        <v>45692</v>
      </c>
      <c r="G840" s="1">
        <v>45702</v>
      </c>
      <c r="H840" t="s">
        <v>12</v>
      </c>
      <c r="I840" t="s">
        <v>3</v>
      </c>
      <c r="J840">
        <v>4</v>
      </c>
      <c r="K840" t="s">
        <v>4</v>
      </c>
      <c r="L840" t="s">
        <v>47</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919</v>
      </c>
      <c r="B841" t="s">
        <v>29</v>
      </c>
      <c r="C841">
        <v>2</v>
      </c>
      <c r="D841">
        <v>22.1</v>
      </c>
      <c r="E841">
        <v>44.2</v>
      </c>
      <c r="F841" s="1">
        <v>45692</v>
      </c>
      <c r="G841" s="1">
        <v>45693</v>
      </c>
      <c r="H841" t="s">
        <v>12</v>
      </c>
      <c r="I841" t="s">
        <v>3</v>
      </c>
      <c r="J841">
        <v>5</v>
      </c>
      <c r="K841" t="s">
        <v>4</v>
      </c>
      <c r="L841" t="s">
        <v>88</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920</v>
      </c>
      <c r="B842" t="s">
        <v>1</v>
      </c>
      <c r="C842">
        <v>3</v>
      </c>
      <c r="D842">
        <v>22.6</v>
      </c>
      <c r="E842">
        <v>67.800000000000011</v>
      </c>
      <c r="F842" s="1">
        <v>45692</v>
      </c>
      <c r="G842" s="1">
        <v>45693</v>
      </c>
      <c r="H842" t="s">
        <v>12</v>
      </c>
      <c r="I842" t="s">
        <v>25</v>
      </c>
      <c r="J842">
        <v>4</v>
      </c>
      <c r="K842" t="s">
        <v>4</v>
      </c>
      <c r="L842" t="s">
        <v>88</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921</v>
      </c>
      <c r="B843" t="s">
        <v>39</v>
      </c>
      <c r="C843">
        <v>6</v>
      </c>
      <c r="D843">
        <v>26.3</v>
      </c>
      <c r="E843">
        <v>157.80000000000001</v>
      </c>
      <c r="F843" s="1">
        <v>45692</v>
      </c>
      <c r="G843" s="1">
        <v>45692</v>
      </c>
      <c r="H843" t="s">
        <v>12</v>
      </c>
      <c r="I843" t="s">
        <v>25</v>
      </c>
      <c r="J843">
        <v>4</v>
      </c>
      <c r="K843" t="s">
        <v>4</v>
      </c>
      <c r="L843" t="s">
        <v>57</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922</v>
      </c>
      <c r="B844" t="s">
        <v>7</v>
      </c>
      <c r="C844">
        <v>4</v>
      </c>
      <c r="D844">
        <v>37.799999999999997</v>
      </c>
      <c r="E844">
        <v>151.19999999999999</v>
      </c>
      <c r="F844" s="1">
        <v>45692</v>
      </c>
      <c r="G844" s="1">
        <v>45693</v>
      </c>
      <c r="H844" t="s">
        <v>12</v>
      </c>
      <c r="I844" t="s">
        <v>3</v>
      </c>
      <c r="J844">
        <v>5</v>
      </c>
      <c r="K844" t="s">
        <v>4</v>
      </c>
      <c r="L844" t="s">
        <v>62</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923</v>
      </c>
      <c r="B845" t="s">
        <v>24</v>
      </c>
      <c r="C845">
        <v>17</v>
      </c>
      <c r="D845">
        <v>96</v>
      </c>
      <c r="E845">
        <v>1632</v>
      </c>
      <c r="F845" s="1">
        <v>45692</v>
      </c>
      <c r="G845" s="1">
        <v>45695</v>
      </c>
      <c r="H845" t="s">
        <v>12</v>
      </c>
      <c r="I845" t="s">
        <v>55</v>
      </c>
      <c r="J845">
        <v>3</v>
      </c>
      <c r="K845" t="s">
        <v>4</v>
      </c>
      <c r="L845" t="s">
        <v>93</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924</v>
      </c>
      <c r="B846" t="s">
        <v>7</v>
      </c>
      <c r="C846">
        <v>1</v>
      </c>
      <c r="D846">
        <v>83.6</v>
      </c>
      <c r="E846">
        <v>83.6</v>
      </c>
      <c r="F846" s="1">
        <v>45692</v>
      </c>
      <c r="G846" s="1">
        <v>45695</v>
      </c>
      <c r="H846" t="s">
        <v>12</v>
      </c>
      <c r="I846" t="s">
        <v>25</v>
      </c>
      <c r="J846">
        <v>3</v>
      </c>
      <c r="K846" t="s">
        <v>4</v>
      </c>
      <c r="L846" t="s">
        <v>95</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925</v>
      </c>
      <c r="B847" t="s">
        <v>11</v>
      </c>
      <c r="C847">
        <v>6</v>
      </c>
      <c r="D847">
        <v>72.599999999999994</v>
      </c>
      <c r="E847">
        <v>435.59999999999997</v>
      </c>
      <c r="F847" s="1">
        <v>45692</v>
      </c>
      <c r="G847" s="1">
        <v>45693</v>
      </c>
      <c r="H847" t="s">
        <v>12</v>
      </c>
      <c r="I847" t="s">
        <v>3</v>
      </c>
      <c r="J847">
        <v>4</v>
      </c>
      <c r="K847" t="s">
        <v>4</v>
      </c>
      <c r="L847" t="s">
        <v>100</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926</v>
      </c>
      <c r="B848" t="s">
        <v>22</v>
      </c>
      <c r="C848">
        <v>20</v>
      </c>
      <c r="D848">
        <v>69.099999999999994</v>
      </c>
      <c r="E848">
        <v>1382</v>
      </c>
      <c r="F848" s="1">
        <v>45693</v>
      </c>
      <c r="G848" s="1">
        <v>45699</v>
      </c>
      <c r="H848" t="s">
        <v>8</v>
      </c>
      <c r="I848" t="s">
        <v>3</v>
      </c>
      <c r="J848">
        <v>5</v>
      </c>
      <c r="K848" t="s">
        <v>4</v>
      </c>
      <c r="L848" t="s">
        <v>100</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927</v>
      </c>
      <c r="B849" t="s">
        <v>17</v>
      </c>
      <c r="C849">
        <v>2</v>
      </c>
      <c r="D849">
        <v>22.6</v>
      </c>
      <c r="E849">
        <v>45.2</v>
      </c>
      <c r="F849" s="1">
        <v>45693</v>
      </c>
      <c r="G849" s="1">
        <v>45695</v>
      </c>
      <c r="H849" t="s">
        <v>12</v>
      </c>
      <c r="I849" t="s">
        <v>20</v>
      </c>
      <c r="J849">
        <v>5</v>
      </c>
      <c r="K849" t="s">
        <v>4</v>
      </c>
      <c r="L849" t="s">
        <v>100</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928</v>
      </c>
      <c r="B850" t="s">
        <v>24</v>
      </c>
      <c r="C850">
        <v>2</v>
      </c>
      <c r="D850">
        <v>45.3</v>
      </c>
      <c r="E850">
        <v>90.6</v>
      </c>
      <c r="F850" s="1">
        <v>45693</v>
      </c>
      <c r="G850" s="1">
        <v>45697</v>
      </c>
      <c r="H850" t="s">
        <v>8</v>
      </c>
      <c r="I850" t="s">
        <v>55</v>
      </c>
      <c r="J850">
        <v>5</v>
      </c>
      <c r="K850" t="s">
        <v>4</v>
      </c>
      <c r="L850" t="s">
        <v>100</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929</v>
      </c>
      <c r="B851" t="s">
        <v>11</v>
      </c>
      <c r="C851">
        <v>2</v>
      </c>
      <c r="D851">
        <v>115.1</v>
      </c>
      <c r="E851">
        <v>230.2</v>
      </c>
      <c r="F851" s="1">
        <v>45693</v>
      </c>
      <c r="G851" s="1">
        <v>45694</v>
      </c>
      <c r="H851" t="s">
        <v>12</v>
      </c>
      <c r="I851" t="s">
        <v>20</v>
      </c>
      <c r="J851">
        <v>4</v>
      </c>
      <c r="K851" t="s">
        <v>4</v>
      </c>
      <c r="L851" t="s">
        <v>9</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930</v>
      </c>
      <c r="B852" t="s">
        <v>131</v>
      </c>
      <c r="C852">
        <v>4</v>
      </c>
      <c r="D852">
        <v>79</v>
      </c>
      <c r="E852">
        <v>316</v>
      </c>
      <c r="F852" s="1">
        <v>45693</v>
      </c>
      <c r="G852" s="1">
        <v>45695</v>
      </c>
      <c r="H852" t="s">
        <v>8</v>
      </c>
      <c r="I852" t="s">
        <v>25</v>
      </c>
      <c r="J852">
        <v>2</v>
      </c>
      <c r="K852" t="s">
        <v>4</v>
      </c>
      <c r="L852" t="s">
        <v>9</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931</v>
      </c>
      <c r="B853" t="s">
        <v>24</v>
      </c>
      <c r="C853">
        <v>5</v>
      </c>
      <c r="D853">
        <v>52.8</v>
      </c>
      <c r="E853">
        <v>264</v>
      </c>
      <c r="F853" s="1">
        <v>45693</v>
      </c>
      <c r="G853" s="1">
        <v>45694</v>
      </c>
      <c r="H853" t="s">
        <v>12</v>
      </c>
      <c r="I853" t="s">
        <v>3</v>
      </c>
      <c r="J853">
        <v>4</v>
      </c>
      <c r="K853" t="s">
        <v>4</v>
      </c>
      <c r="L853" t="s">
        <v>422</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932</v>
      </c>
      <c r="B854" t="s">
        <v>29</v>
      </c>
      <c r="C854">
        <v>2</v>
      </c>
      <c r="D854">
        <v>34.1</v>
      </c>
      <c r="E854">
        <v>68.2</v>
      </c>
      <c r="F854" s="1">
        <v>45693</v>
      </c>
      <c r="G854" s="1">
        <v>45694</v>
      </c>
      <c r="H854" t="s">
        <v>8</v>
      </c>
      <c r="I854" t="s">
        <v>36</v>
      </c>
      <c r="J854">
        <v>5</v>
      </c>
      <c r="K854" t="s">
        <v>4</v>
      </c>
      <c r="L854" t="s">
        <v>572</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933</v>
      </c>
      <c r="B855" t="s">
        <v>24</v>
      </c>
      <c r="C855">
        <v>5</v>
      </c>
      <c r="D855">
        <v>107.9</v>
      </c>
      <c r="E855">
        <v>539.5</v>
      </c>
      <c r="F855" s="1">
        <v>45693</v>
      </c>
      <c r="G855" s="1">
        <v>45693</v>
      </c>
      <c r="H855" t="s">
        <v>12</v>
      </c>
      <c r="I855" t="s">
        <v>3</v>
      </c>
      <c r="J855">
        <v>5</v>
      </c>
      <c r="K855" t="s">
        <v>4</v>
      </c>
      <c r="L855" t="s">
        <v>934</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935</v>
      </c>
      <c r="B856" t="s">
        <v>29</v>
      </c>
      <c r="C856">
        <v>13</v>
      </c>
      <c r="D856">
        <v>48.5</v>
      </c>
      <c r="E856">
        <v>630.5</v>
      </c>
      <c r="F856" s="1">
        <v>45693</v>
      </c>
      <c r="G856" s="1">
        <v>45693</v>
      </c>
      <c r="H856" t="s">
        <v>8</v>
      </c>
      <c r="I856" t="s">
        <v>25</v>
      </c>
      <c r="J856">
        <v>5</v>
      </c>
      <c r="K856" t="s">
        <v>4</v>
      </c>
      <c r="L856" t="s">
        <v>18</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936</v>
      </c>
      <c r="B857" t="s">
        <v>22</v>
      </c>
      <c r="C857">
        <v>3</v>
      </c>
      <c r="D857">
        <v>34.700000000000003</v>
      </c>
      <c r="E857">
        <v>104.10000000000001</v>
      </c>
      <c r="F857" s="1">
        <v>45693</v>
      </c>
      <c r="G857" s="1">
        <v>45694</v>
      </c>
      <c r="H857" t="s">
        <v>2</v>
      </c>
      <c r="I857" t="s">
        <v>55</v>
      </c>
      <c r="J857">
        <v>3</v>
      </c>
      <c r="K857" t="s">
        <v>4</v>
      </c>
      <c r="L857" t="s">
        <v>18</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937</v>
      </c>
      <c r="B858" t="s">
        <v>29</v>
      </c>
      <c r="C858">
        <v>1</v>
      </c>
      <c r="D858">
        <v>16.8</v>
      </c>
      <c r="E858">
        <v>16.8</v>
      </c>
      <c r="F858" s="1">
        <v>45693</v>
      </c>
      <c r="G858" s="1">
        <v>45695</v>
      </c>
      <c r="H858" t="s">
        <v>12</v>
      </c>
      <c r="I858" t="s">
        <v>36</v>
      </c>
      <c r="J858">
        <v>4</v>
      </c>
      <c r="K858" t="s">
        <v>4</v>
      </c>
      <c r="L858" t="s">
        <v>18</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938</v>
      </c>
      <c r="B859" t="s">
        <v>29</v>
      </c>
      <c r="C859">
        <v>6</v>
      </c>
      <c r="D859">
        <v>18.3</v>
      </c>
      <c r="E859">
        <v>109.80000000000001</v>
      </c>
      <c r="F859" s="1">
        <v>45693</v>
      </c>
      <c r="G859" s="1">
        <v>45696</v>
      </c>
      <c r="H859" t="s">
        <v>12</v>
      </c>
      <c r="I859" t="s">
        <v>3</v>
      </c>
      <c r="J859">
        <v>4</v>
      </c>
      <c r="K859" t="s">
        <v>4</v>
      </c>
      <c r="L859" t="s">
        <v>18</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939</v>
      </c>
      <c r="B860" t="s">
        <v>131</v>
      </c>
      <c r="C860">
        <v>3</v>
      </c>
      <c r="D860">
        <v>55.9</v>
      </c>
      <c r="E860">
        <v>167.7</v>
      </c>
      <c r="F860" s="1">
        <v>45693</v>
      </c>
      <c r="G860" s="1">
        <v>45699</v>
      </c>
      <c r="H860" t="s">
        <v>8</v>
      </c>
      <c r="I860" t="s">
        <v>36</v>
      </c>
      <c r="J860">
        <v>3</v>
      </c>
      <c r="K860" t="s">
        <v>4</v>
      </c>
      <c r="L860" t="s">
        <v>18</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940</v>
      </c>
      <c r="B861" t="s">
        <v>29</v>
      </c>
      <c r="C861">
        <v>3</v>
      </c>
      <c r="D861">
        <v>39.200000000000003</v>
      </c>
      <c r="E861">
        <v>117.60000000000001</v>
      </c>
      <c r="F861" s="1">
        <v>45693</v>
      </c>
      <c r="G861" s="1">
        <v>45695</v>
      </c>
      <c r="H861" t="s">
        <v>12</v>
      </c>
      <c r="I861" t="s">
        <v>3</v>
      </c>
      <c r="J861">
        <v>3</v>
      </c>
      <c r="K861" t="s">
        <v>4</v>
      </c>
      <c r="L861" t="s">
        <v>18</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941</v>
      </c>
      <c r="B862" t="s">
        <v>108</v>
      </c>
      <c r="C862">
        <v>4</v>
      </c>
      <c r="D862">
        <v>66.5</v>
      </c>
      <c r="E862">
        <v>266</v>
      </c>
      <c r="F862" s="1">
        <v>45693</v>
      </c>
      <c r="G862" s="1">
        <v>45695</v>
      </c>
      <c r="H862" t="s">
        <v>2</v>
      </c>
      <c r="I862" t="s">
        <v>36</v>
      </c>
      <c r="J862">
        <v>3</v>
      </c>
      <c r="K862" t="s">
        <v>4</v>
      </c>
      <c r="L862" t="s">
        <v>18</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942</v>
      </c>
      <c r="B863" t="s">
        <v>24</v>
      </c>
      <c r="C863">
        <v>6</v>
      </c>
      <c r="D863">
        <v>52.1</v>
      </c>
      <c r="E863">
        <v>312.60000000000002</v>
      </c>
      <c r="F863" s="1">
        <v>45693</v>
      </c>
      <c r="G863" s="1">
        <v>45695</v>
      </c>
      <c r="H863" t="s">
        <v>8</v>
      </c>
      <c r="I863" t="s">
        <v>20</v>
      </c>
      <c r="J863">
        <v>3</v>
      </c>
      <c r="K863" t="s">
        <v>4</v>
      </c>
      <c r="L863" t="s">
        <v>83</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943</v>
      </c>
      <c r="B864" t="s">
        <v>29</v>
      </c>
      <c r="C864">
        <v>2</v>
      </c>
      <c r="D864">
        <v>19</v>
      </c>
      <c r="E864">
        <v>38</v>
      </c>
      <c r="F864" s="1">
        <v>45693</v>
      </c>
      <c r="G864" s="1">
        <v>45694</v>
      </c>
      <c r="H864" t="s">
        <v>8</v>
      </c>
      <c r="I864" t="s">
        <v>55</v>
      </c>
      <c r="J864">
        <v>5</v>
      </c>
      <c r="K864" t="s">
        <v>4</v>
      </c>
      <c r="L864" t="s">
        <v>40</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944</v>
      </c>
      <c r="B865" t="s">
        <v>27</v>
      </c>
      <c r="C865">
        <v>3</v>
      </c>
      <c r="D865">
        <v>84.8</v>
      </c>
      <c r="E865">
        <v>254.39999999999998</v>
      </c>
      <c r="F865" s="1">
        <v>45693</v>
      </c>
      <c r="G865" s="1">
        <v>45695</v>
      </c>
      <c r="H865" t="s">
        <v>12</v>
      </c>
      <c r="I865" t="s">
        <v>25</v>
      </c>
      <c r="J865">
        <v>4</v>
      </c>
      <c r="K865" t="s">
        <v>4</v>
      </c>
      <c r="L865" t="s">
        <v>47</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945</v>
      </c>
      <c r="B866" t="s">
        <v>11</v>
      </c>
      <c r="C866">
        <v>4</v>
      </c>
      <c r="D866">
        <v>63.9</v>
      </c>
      <c r="E866">
        <v>255.6</v>
      </c>
      <c r="F866" s="1">
        <v>45693</v>
      </c>
      <c r="G866" s="1">
        <v>45696</v>
      </c>
      <c r="H866" t="s">
        <v>12</v>
      </c>
      <c r="I866" t="s">
        <v>3</v>
      </c>
      <c r="J866">
        <v>4</v>
      </c>
      <c r="K866" t="s">
        <v>4</v>
      </c>
      <c r="L866" t="s">
        <v>47</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946</v>
      </c>
      <c r="B867" t="s">
        <v>11</v>
      </c>
      <c r="C867">
        <v>3</v>
      </c>
      <c r="D867">
        <v>65.5</v>
      </c>
      <c r="E867">
        <v>196.5</v>
      </c>
      <c r="F867" s="1">
        <v>45693</v>
      </c>
      <c r="G867" s="1">
        <v>45693</v>
      </c>
      <c r="H867" t="s">
        <v>12</v>
      </c>
      <c r="I867" t="s">
        <v>20</v>
      </c>
      <c r="J867">
        <v>3</v>
      </c>
      <c r="K867" t="s">
        <v>4</v>
      </c>
      <c r="L867" t="s">
        <v>47</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947</v>
      </c>
      <c r="B868" t="s">
        <v>54</v>
      </c>
      <c r="C868">
        <v>2</v>
      </c>
      <c r="D868">
        <v>116.2</v>
      </c>
      <c r="E868">
        <v>232.4</v>
      </c>
      <c r="F868" s="1">
        <v>45693</v>
      </c>
      <c r="G868" s="1">
        <v>45699</v>
      </c>
      <c r="H868" t="s">
        <v>8</v>
      </c>
      <c r="I868" t="s">
        <v>36</v>
      </c>
      <c r="J868">
        <v>4</v>
      </c>
      <c r="K868" t="s">
        <v>4</v>
      </c>
      <c r="L868" t="s">
        <v>88</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948</v>
      </c>
      <c r="B869" t="s">
        <v>39</v>
      </c>
      <c r="C869">
        <v>4</v>
      </c>
      <c r="D869">
        <v>22.9</v>
      </c>
      <c r="E869">
        <v>91.6</v>
      </c>
      <c r="F869" s="1">
        <v>45693</v>
      </c>
      <c r="G869" s="1">
        <v>45695</v>
      </c>
      <c r="H869" t="s">
        <v>12</v>
      </c>
      <c r="I869" t="s">
        <v>25</v>
      </c>
      <c r="J869">
        <v>3</v>
      </c>
      <c r="K869" t="s">
        <v>4</v>
      </c>
      <c r="L869" t="s">
        <v>362</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949</v>
      </c>
      <c r="B870" t="s">
        <v>39</v>
      </c>
      <c r="C870">
        <v>3</v>
      </c>
      <c r="D870">
        <v>53.7</v>
      </c>
      <c r="E870">
        <v>161.10000000000002</v>
      </c>
      <c r="F870" s="1">
        <v>45693</v>
      </c>
      <c r="G870" s="1">
        <v>45694</v>
      </c>
      <c r="H870" t="s">
        <v>8</v>
      </c>
      <c r="I870" t="s">
        <v>3</v>
      </c>
      <c r="J870">
        <v>2</v>
      </c>
      <c r="K870" t="s">
        <v>4</v>
      </c>
      <c r="L870" t="s">
        <v>93</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950</v>
      </c>
      <c r="B871" t="s">
        <v>24</v>
      </c>
      <c r="C871">
        <v>5</v>
      </c>
      <c r="D871">
        <v>43.2</v>
      </c>
      <c r="E871">
        <v>216</v>
      </c>
      <c r="F871" s="1">
        <v>45693</v>
      </c>
      <c r="G871" s="1">
        <v>45695</v>
      </c>
      <c r="H871" t="s">
        <v>12</v>
      </c>
      <c r="I871" t="s">
        <v>3</v>
      </c>
      <c r="J871">
        <v>4</v>
      </c>
      <c r="K871" t="s">
        <v>4</v>
      </c>
      <c r="L871" t="s">
        <v>95</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951</v>
      </c>
      <c r="B872" t="s">
        <v>7</v>
      </c>
      <c r="C872">
        <v>3</v>
      </c>
      <c r="D872">
        <v>84.5</v>
      </c>
      <c r="E872">
        <v>253.5</v>
      </c>
      <c r="F872" s="1">
        <v>45693</v>
      </c>
      <c r="G872" s="1">
        <v>45695</v>
      </c>
      <c r="H872" t="s">
        <v>8</v>
      </c>
      <c r="I872" t="s">
        <v>25</v>
      </c>
      <c r="J872">
        <v>5</v>
      </c>
      <c r="K872" t="s">
        <v>4</v>
      </c>
      <c r="L872" t="s">
        <v>952</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953</v>
      </c>
      <c r="B873" t="s">
        <v>15</v>
      </c>
      <c r="C873">
        <v>2</v>
      </c>
      <c r="D873">
        <v>42.2</v>
      </c>
      <c r="E873">
        <v>84.4</v>
      </c>
      <c r="F873" s="1">
        <v>45693</v>
      </c>
      <c r="G873" s="1">
        <v>45694</v>
      </c>
      <c r="H873" t="s">
        <v>12</v>
      </c>
      <c r="I873" t="s">
        <v>20</v>
      </c>
      <c r="J873">
        <v>5</v>
      </c>
      <c r="K873" t="s">
        <v>4</v>
      </c>
      <c r="L873" t="s">
        <v>9</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954</v>
      </c>
      <c r="B874" t="s">
        <v>11</v>
      </c>
      <c r="C874">
        <v>6</v>
      </c>
      <c r="D874">
        <v>94.7</v>
      </c>
      <c r="E874">
        <v>568.20000000000005</v>
      </c>
      <c r="F874" s="1">
        <v>45693</v>
      </c>
      <c r="G874" s="1">
        <v>45696</v>
      </c>
      <c r="H874" t="s">
        <v>12</v>
      </c>
      <c r="I874" t="s">
        <v>20</v>
      </c>
      <c r="J874">
        <v>5</v>
      </c>
      <c r="K874" t="s">
        <v>4</v>
      </c>
      <c r="L874" t="s">
        <v>13</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955</v>
      </c>
      <c r="B875" t="s">
        <v>29</v>
      </c>
      <c r="C875">
        <v>18</v>
      </c>
      <c r="D875">
        <v>16.7</v>
      </c>
      <c r="E875">
        <v>300.59999999999997</v>
      </c>
      <c r="F875" s="1">
        <v>45693</v>
      </c>
      <c r="G875" s="1">
        <v>45705</v>
      </c>
      <c r="H875" t="s">
        <v>12</v>
      </c>
      <c r="I875" t="s">
        <v>3</v>
      </c>
      <c r="J875">
        <v>5</v>
      </c>
      <c r="K875" t="s">
        <v>4</v>
      </c>
      <c r="L875" t="s">
        <v>13</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956</v>
      </c>
      <c r="B876" t="s">
        <v>11</v>
      </c>
      <c r="C876">
        <v>2</v>
      </c>
      <c r="D876">
        <v>83.6</v>
      </c>
      <c r="E876">
        <v>167.2</v>
      </c>
      <c r="F876" s="1">
        <v>45693</v>
      </c>
      <c r="G876" s="1">
        <v>45699</v>
      </c>
      <c r="H876" t="s">
        <v>12</v>
      </c>
      <c r="I876" t="s">
        <v>20</v>
      </c>
      <c r="J876">
        <v>4</v>
      </c>
      <c r="K876" t="s">
        <v>4</v>
      </c>
      <c r="L876" t="s">
        <v>18</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957</v>
      </c>
      <c r="B877" t="s">
        <v>27</v>
      </c>
      <c r="C877">
        <v>6</v>
      </c>
      <c r="D877">
        <v>33.6</v>
      </c>
      <c r="E877">
        <v>201.60000000000002</v>
      </c>
      <c r="F877" s="1">
        <v>45694</v>
      </c>
      <c r="G877" s="1">
        <v>45695</v>
      </c>
      <c r="H877" t="s">
        <v>12</v>
      </c>
      <c r="I877" t="s">
        <v>36</v>
      </c>
      <c r="J877">
        <v>4</v>
      </c>
      <c r="K877" t="s">
        <v>4</v>
      </c>
      <c r="L877" t="s">
        <v>18</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958</v>
      </c>
      <c r="B878" t="s">
        <v>27</v>
      </c>
      <c r="C878">
        <v>2</v>
      </c>
      <c r="D878">
        <v>64.7</v>
      </c>
      <c r="E878">
        <v>129.4</v>
      </c>
      <c r="F878" s="1">
        <v>45694</v>
      </c>
      <c r="G878" s="1">
        <v>45696</v>
      </c>
      <c r="H878" t="s">
        <v>8</v>
      </c>
      <c r="I878" t="s">
        <v>20</v>
      </c>
      <c r="J878">
        <v>5</v>
      </c>
      <c r="K878" t="s">
        <v>4</v>
      </c>
      <c r="L878" t="s">
        <v>18</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959</v>
      </c>
      <c r="B879" t="s">
        <v>1</v>
      </c>
      <c r="C879">
        <v>3</v>
      </c>
      <c r="D879">
        <v>15.7</v>
      </c>
      <c r="E879">
        <v>47.099999999999994</v>
      </c>
      <c r="F879" s="1">
        <v>45694</v>
      </c>
      <c r="G879" s="1">
        <v>45700</v>
      </c>
      <c r="H879" t="s">
        <v>12</v>
      </c>
      <c r="I879" t="s">
        <v>3</v>
      </c>
      <c r="J879">
        <v>4</v>
      </c>
      <c r="K879" t="s">
        <v>4</v>
      </c>
      <c r="L879" t="s">
        <v>18</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960</v>
      </c>
      <c r="B880" t="s">
        <v>108</v>
      </c>
      <c r="C880">
        <v>6</v>
      </c>
      <c r="D880">
        <v>49.4</v>
      </c>
      <c r="E880">
        <v>296.39999999999998</v>
      </c>
      <c r="F880" s="1">
        <v>45694</v>
      </c>
      <c r="G880" s="1">
        <v>45694</v>
      </c>
      <c r="H880" t="s">
        <v>8</v>
      </c>
      <c r="I880" t="s">
        <v>20</v>
      </c>
      <c r="J880">
        <v>4</v>
      </c>
      <c r="K880" t="s">
        <v>4</v>
      </c>
      <c r="L880" t="s">
        <v>18</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961</v>
      </c>
      <c r="B881" t="s">
        <v>39</v>
      </c>
      <c r="C881">
        <v>6</v>
      </c>
      <c r="D881">
        <v>37</v>
      </c>
      <c r="E881">
        <v>222</v>
      </c>
      <c r="F881" s="1">
        <v>45694</v>
      </c>
      <c r="G881" s="1">
        <v>45697</v>
      </c>
      <c r="H881" t="s">
        <v>12</v>
      </c>
      <c r="I881" t="s">
        <v>20</v>
      </c>
      <c r="J881">
        <v>5</v>
      </c>
      <c r="K881" t="s">
        <v>4</v>
      </c>
      <c r="L881" t="s">
        <v>18</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962</v>
      </c>
      <c r="B882" t="s">
        <v>11</v>
      </c>
      <c r="C882">
        <v>2</v>
      </c>
      <c r="D882">
        <v>83.7</v>
      </c>
      <c r="E882">
        <v>167.4</v>
      </c>
      <c r="F882" s="1">
        <v>45694</v>
      </c>
      <c r="G882" s="1">
        <v>45696</v>
      </c>
      <c r="H882" t="s">
        <v>12</v>
      </c>
      <c r="I882" t="s">
        <v>36</v>
      </c>
      <c r="J882">
        <v>5</v>
      </c>
      <c r="K882" t="s">
        <v>4</v>
      </c>
      <c r="L882" t="s">
        <v>18</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963</v>
      </c>
      <c r="B883" t="s">
        <v>7</v>
      </c>
      <c r="C883">
        <v>5</v>
      </c>
      <c r="D883">
        <v>35.1</v>
      </c>
      <c r="E883">
        <v>175.5</v>
      </c>
      <c r="F883" s="1">
        <v>45694</v>
      </c>
      <c r="G883" s="1">
        <v>45695</v>
      </c>
      <c r="H883" t="s">
        <v>12</v>
      </c>
      <c r="I883" t="s">
        <v>3</v>
      </c>
      <c r="J883">
        <v>4</v>
      </c>
      <c r="K883" t="s">
        <v>4</v>
      </c>
      <c r="L883" t="s">
        <v>18</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964</v>
      </c>
      <c r="B884" t="s">
        <v>113</v>
      </c>
      <c r="C884">
        <v>8</v>
      </c>
      <c r="D884">
        <v>74</v>
      </c>
      <c r="E884">
        <v>592</v>
      </c>
      <c r="F884" s="1">
        <v>45694</v>
      </c>
      <c r="G884" s="1">
        <v>45695</v>
      </c>
      <c r="H884" t="s">
        <v>12</v>
      </c>
      <c r="I884" t="s">
        <v>55</v>
      </c>
      <c r="J884">
        <v>4</v>
      </c>
      <c r="K884" t="s">
        <v>4</v>
      </c>
      <c r="L884" t="s">
        <v>349</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965</v>
      </c>
      <c r="B885" t="s">
        <v>24</v>
      </c>
      <c r="C885">
        <v>24</v>
      </c>
      <c r="D885">
        <v>55.5</v>
      </c>
      <c r="E885">
        <v>1332</v>
      </c>
      <c r="F885" s="1">
        <v>45694</v>
      </c>
      <c r="G885" s="1">
        <v>45697</v>
      </c>
      <c r="H885" t="s">
        <v>8</v>
      </c>
      <c r="I885" t="s">
        <v>36</v>
      </c>
      <c r="J885">
        <v>4</v>
      </c>
      <c r="K885" t="s">
        <v>4</v>
      </c>
      <c r="L885" t="s">
        <v>787</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966</v>
      </c>
      <c r="B886" t="s">
        <v>52</v>
      </c>
      <c r="C886">
        <v>2</v>
      </c>
      <c r="D886">
        <v>38.9</v>
      </c>
      <c r="E886">
        <v>77.8</v>
      </c>
      <c r="F886" s="1">
        <v>45694</v>
      </c>
      <c r="G886" s="1">
        <v>45696</v>
      </c>
      <c r="H886" t="s">
        <v>12</v>
      </c>
      <c r="I886" t="s">
        <v>20</v>
      </c>
      <c r="J886">
        <v>5</v>
      </c>
      <c r="K886" t="s">
        <v>4</v>
      </c>
      <c r="L886" t="s">
        <v>173</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967</v>
      </c>
      <c r="B887" t="s">
        <v>113</v>
      </c>
      <c r="C887">
        <v>2</v>
      </c>
      <c r="D887">
        <v>64.599999999999994</v>
      </c>
      <c r="E887">
        <v>129.19999999999999</v>
      </c>
      <c r="F887" s="1">
        <v>45694</v>
      </c>
      <c r="G887" s="1">
        <v>45701</v>
      </c>
      <c r="H887" t="s">
        <v>8</v>
      </c>
      <c r="I887" t="s">
        <v>25</v>
      </c>
      <c r="J887">
        <v>3</v>
      </c>
      <c r="K887" t="s">
        <v>4</v>
      </c>
      <c r="L887" t="s">
        <v>173</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968</v>
      </c>
      <c r="B888" t="s">
        <v>11</v>
      </c>
      <c r="C888">
        <v>3</v>
      </c>
      <c r="D888">
        <v>95.3</v>
      </c>
      <c r="E888">
        <v>285.89999999999998</v>
      </c>
      <c r="F888" s="1">
        <v>45694</v>
      </c>
      <c r="G888" s="1">
        <v>45695</v>
      </c>
      <c r="H888" t="s">
        <v>8</v>
      </c>
      <c r="I888" t="s">
        <v>3</v>
      </c>
      <c r="J888">
        <v>4</v>
      </c>
      <c r="K888" t="s">
        <v>4</v>
      </c>
      <c r="L888" t="s">
        <v>37</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969</v>
      </c>
      <c r="B889" t="s">
        <v>61</v>
      </c>
      <c r="C889">
        <v>3</v>
      </c>
      <c r="D889">
        <v>25.8</v>
      </c>
      <c r="E889">
        <v>77.400000000000006</v>
      </c>
      <c r="F889" s="1">
        <v>45694</v>
      </c>
      <c r="G889" s="1">
        <v>45695</v>
      </c>
      <c r="H889" t="s">
        <v>12</v>
      </c>
      <c r="I889" t="s">
        <v>20</v>
      </c>
      <c r="J889">
        <v>3</v>
      </c>
      <c r="K889" t="s">
        <v>4</v>
      </c>
      <c r="L889" t="s">
        <v>40</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970</v>
      </c>
      <c r="B890" t="s">
        <v>1</v>
      </c>
      <c r="C890">
        <v>2</v>
      </c>
      <c r="D890">
        <v>11.6</v>
      </c>
      <c r="E890">
        <v>23.2</v>
      </c>
      <c r="F890" s="1">
        <v>45694</v>
      </c>
      <c r="G890" s="1">
        <v>45698</v>
      </c>
      <c r="H890" t="s">
        <v>12</v>
      </c>
      <c r="I890" t="s">
        <v>20</v>
      </c>
      <c r="J890">
        <v>3</v>
      </c>
      <c r="K890" t="s">
        <v>4</v>
      </c>
      <c r="L890" t="s">
        <v>40</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971</v>
      </c>
      <c r="B891" t="s">
        <v>27</v>
      </c>
      <c r="C891">
        <v>1</v>
      </c>
      <c r="D891">
        <v>52.3</v>
      </c>
      <c r="E891">
        <v>52.3</v>
      </c>
      <c r="F891" s="1">
        <v>45694</v>
      </c>
      <c r="G891" s="1">
        <v>45695</v>
      </c>
      <c r="H891" t="s">
        <v>12</v>
      </c>
      <c r="I891" t="s">
        <v>20</v>
      </c>
      <c r="J891">
        <v>4</v>
      </c>
      <c r="K891" t="s">
        <v>4</v>
      </c>
      <c r="L891" t="s">
        <v>47</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972</v>
      </c>
      <c r="B892" t="s">
        <v>11</v>
      </c>
      <c r="C892">
        <v>10</v>
      </c>
      <c r="D892">
        <v>112.2</v>
      </c>
      <c r="E892">
        <v>1122</v>
      </c>
      <c r="F892" s="1">
        <v>45694</v>
      </c>
      <c r="G892" s="1">
        <v>45695</v>
      </c>
      <c r="H892" t="s">
        <v>12</v>
      </c>
      <c r="I892" t="s">
        <v>20</v>
      </c>
      <c r="J892">
        <v>3</v>
      </c>
      <c r="K892" t="s">
        <v>4</v>
      </c>
      <c r="L892" t="s">
        <v>47</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973</v>
      </c>
      <c r="B893" t="s">
        <v>17</v>
      </c>
      <c r="C893">
        <v>5</v>
      </c>
      <c r="D893">
        <v>34.6</v>
      </c>
      <c r="E893">
        <v>173</v>
      </c>
      <c r="F893" s="1">
        <v>45694</v>
      </c>
      <c r="G893" s="1">
        <v>45696</v>
      </c>
      <c r="H893" t="s">
        <v>8</v>
      </c>
      <c r="I893" t="s">
        <v>25</v>
      </c>
      <c r="J893">
        <v>4</v>
      </c>
      <c r="K893" t="s">
        <v>4</v>
      </c>
      <c r="L893" t="s">
        <v>47</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974</v>
      </c>
      <c r="B894" t="s">
        <v>66</v>
      </c>
      <c r="C894">
        <v>4</v>
      </c>
      <c r="D894">
        <v>20.100000000000001</v>
      </c>
      <c r="E894">
        <v>80.400000000000006</v>
      </c>
      <c r="F894" s="1">
        <v>45694</v>
      </c>
      <c r="G894" s="1">
        <v>45700</v>
      </c>
      <c r="H894" t="s">
        <v>8</v>
      </c>
      <c r="I894" t="s">
        <v>20</v>
      </c>
      <c r="J894">
        <v>5</v>
      </c>
      <c r="K894" t="s">
        <v>4</v>
      </c>
      <c r="L894" t="s">
        <v>47</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975</v>
      </c>
      <c r="B895" t="s">
        <v>11</v>
      </c>
      <c r="C895">
        <v>4</v>
      </c>
      <c r="D895">
        <v>56.4</v>
      </c>
      <c r="E895">
        <v>225.6</v>
      </c>
      <c r="F895" s="1">
        <v>45694</v>
      </c>
      <c r="G895" s="1">
        <v>45696</v>
      </c>
      <c r="H895" t="s">
        <v>12</v>
      </c>
      <c r="I895" t="s">
        <v>25</v>
      </c>
      <c r="J895">
        <v>4</v>
      </c>
      <c r="K895" t="s">
        <v>4</v>
      </c>
      <c r="L895" t="s">
        <v>59</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976</v>
      </c>
      <c r="B896" t="s">
        <v>61</v>
      </c>
      <c r="C896">
        <v>9</v>
      </c>
      <c r="D896">
        <v>55.3</v>
      </c>
      <c r="E896">
        <v>497.7</v>
      </c>
      <c r="F896" s="1">
        <v>45694</v>
      </c>
      <c r="G896" s="1">
        <v>45696</v>
      </c>
      <c r="H896" t="s">
        <v>12</v>
      </c>
      <c r="I896" t="s">
        <v>20</v>
      </c>
      <c r="J896">
        <v>2</v>
      </c>
      <c r="K896" t="s">
        <v>4</v>
      </c>
      <c r="L896" t="s">
        <v>62</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977</v>
      </c>
      <c r="B897" t="s">
        <v>11</v>
      </c>
      <c r="C897">
        <v>28</v>
      </c>
      <c r="D897">
        <v>75.5</v>
      </c>
      <c r="E897">
        <v>2114</v>
      </c>
      <c r="F897" s="1">
        <v>45694</v>
      </c>
      <c r="G897" s="1">
        <v>45695</v>
      </c>
      <c r="H897" t="s">
        <v>12</v>
      </c>
      <c r="I897" t="s">
        <v>3</v>
      </c>
      <c r="J897">
        <v>4</v>
      </c>
      <c r="K897" t="s">
        <v>4</v>
      </c>
      <c r="L897" t="s">
        <v>62</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978</v>
      </c>
      <c r="B898" t="s">
        <v>29</v>
      </c>
      <c r="C898">
        <v>1</v>
      </c>
      <c r="D898">
        <v>23.6</v>
      </c>
      <c r="E898">
        <v>23.6</v>
      </c>
      <c r="F898" s="1">
        <v>45694</v>
      </c>
      <c r="G898" s="1">
        <v>45699</v>
      </c>
      <c r="H898" t="s">
        <v>12</v>
      </c>
      <c r="I898" t="s">
        <v>3</v>
      </c>
      <c r="J898">
        <v>4</v>
      </c>
      <c r="K898" t="s">
        <v>4</v>
      </c>
      <c r="L898" t="s">
        <v>95</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979</v>
      </c>
      <c r="B899" t="s">
        <v>31</v>
      </c>
      <c r="C899">
        <v>2</v>
      </c>
      <c r="D899">
        <v>70.7</v>
      </c>
      <c r="E899">
        <v>141.4</v>
      </c>
      <c r="F899" s="1">
        <v>45694</v>
      </c>
      <c r="G899" s="1">
        <v>45696</v>
      </c>
      <c r="H899" t="s">
        <v>12</v>
      </c>
      <c r="I899" t="s">
        <v>25</v>
      </c>
      <c r="J899">
        <v>4</v>
      </c>
      <c r="K899" t="s">
        <v>4</v>
      </c>
      <c r="L899" t="s">
        <v>95</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980</v>
      </c>
      <c r="B900" t="s">
        <v>54</v>
      </c>
      <c r="C900">
        <v>2</v>
      </c>
      <c r="D900">
        <v>43.2</v>
      </c>
      <c r="E900">
        <v>86.4</v>
      </c>
      <c r="F900" s="1">
        <v>45694</v>
      </c>
      <c r="G900" s="1">
        <v>45695</v>
      </c>
      <c r="H900" t="s">
        <v>12</v>
      </c>
      <c r="I900" t="s">
        <v>25</v>
      </c>
      <c r="J900">
        <v>4</v>
      </c>
      <c r="K900" t="s">
        <v>4</v>
      </c>
      <c r="L900" t="s">
        <v>277</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981</v>
      </c>
      <c r="B901" t="s">
        <v>31</v>
      </c>
      <c r="C901">
        <v>9</v>
      </c>
      <c r="D901">
        <v>70</v>
      </c>
      <c r="E901">
        <v>630</v>
      </c>
      <c r="F901" s="1">
        <v>45694</v>
      </c>
      <c r="G901" s="1">
        <v>45695</v>
      </c>
      <c r="H901" t="s">
        <v>2</v>
      </c>
      <c r="I901" t="s">
        <v>20</v>
      </c>
      <c r="J901">
        <v>4</v>
      </c>
      <c r="K901" t="s">
        <v>4</v>
      </c>
      <c r="L901" t="s">
        <v>982</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983</v>
      </c>
      <c r="B902" t="s">
        <v>1</v>
      </c>
      <c r="C902">
        <v>2</v>
      </c>
      <c r="D902">
        <v>20.5</v>
      </c>
      <c r="E902">
        <v>41</v>
      </c>
      <c r="F902" s="1">
        <v>45694</v>
      </c>
      <c r="G902" s="1">
        <v>45696</v>
      </c>
      <c r="H902" t="s">
        <v>12</v>
      </c>
      <c r="I902" t="s">
        <v>25</v>
      </c>
      <c r="J902">
        <v>2</v>
      </c>
      <c r="K902" t="s">
        <v>4</v>
      </c>
      <c r="L902" t="s">
        <v>67</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984</v>
      </c>
      <c r="B903" t="s">
        <v>1</v>
      </c>
      <c r="C903">
        <v>4</v>
      </c>
      <c r="D903">
        <v>29.1</v>
      </c>
      <c r="E903">
        <v>116.4</v>
      </c>
      <c r="F903" s="1">
        <v>45694</v>
      </c>
      <c r="G903" s="1">
        <v>45695</v>
      </c>
      <c r="H903" t="s">
        <v>12</v>
      </c>
      <c r="I903" t="s">
        <v>36</v>
      </c>
      <c r="J903">
        <v>4</v>
      </c>
      <c r="K903" t="s">
        <v>4</v>
      </c>
      <c r="L903" t="s">
        <v>228</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985</v>
      </c>
      <c r="B904" t="s">
        <v>24</v>
      </c>
      <c r="C904">
        <v>9</v>
      </c>
      <c r="D904">
        <v>53.6</v>
      </c>
      <c r="E904">
        <v>482.40000000000003</v>
      </c>
      <c r="F904" s="1">
        <v>45694</v>
      </c>
      <c r="G904" s="1">
        <v>45695</v>
      </c>
      <c r="H904" t="s">
        <v>8</v>
      </c>
      <c r="I904" t="s">
        <v>25</v>
      </c>
      <c r="J904">
        <v>3</v>
      </c>
      <c r="K904" t="s">
        <v>4</v>
      </c>
      <c r="L904" t="s">
        <v>18</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986</v>
      </c>
      <c r="B905" t="s">
        <v>24</v>
      </c>
      <c r="C905">
        <v>5</v>
      </c>
      <c r="D905">
        <v>72.3</v>
      </c>
      <c r="E905">
        <v>361.5</v>
      </c>
      <c r="F905" s="1">
        <v>45694</v>
      </c>
      <c r="G905" s="1">
        <v>45696</v>
      </c>
      <c r="H905" t="s">
        <v>12</v>
      </c>
      <c r="I905" t="s">
        <v>20</v>
      </c>
      <c r="J905">
        <v>4</v>
      </c>
      <c r="K905" t="s">
        <v>4</v>
      </c>
      <c r="L905" t="s">
        <v>18</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987</v>
      </c>
      <c r="B906" t="s">
        <v>61</v>
      </c>
      <c r="C906">
        <v>4</v>
      </c>
      <c r="D906">
        <v>22.6</v>
      </c>
      <c r="E906">
        <v>90.4</v>
      </c>
      <c r="F906" s="1">
        <v>45694</v>
      </c>
      <c r="G906" s="1">
        <v>45697</v>
      </c>
      <c r="H906" t="s">
        <v>74</v>
      </c>
      <c r="I906" t="s">
        <v>3</v>
      </c>
      <c r="J906">
        <v>3</v>
      </c>
      <c r="K906" t="s">
        <v>4</v>
      </c>
      <c r="L906" t="s">
        <v>18</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988</v>
      </c>
      <c r="B907" t="s">
        <v>31</v>
      </c>
      <c r="C907">
        <v>2</v>
      </c>
      <c r="D907">
        <v>44.2</v>
      </c>
      <c r="E907">
        <v>88.4</v>
      </c>
      <c r="F907" s="1">
        <v>45694</v>
      </c>
      <c r="G907" s="1">
        <v>45698</v>
      </c>
      <c r="H907" t="s">
        <v>2</v>
      </c>
      <c r="I907" t="s">
        <v>25</v>
      </c>
      <c r="J907">
        <v>2</v>
      </c>
      <c r="K907" t="s">
        <v>4</v>
      </c>
      <c r="L907" t="s">
        <v>18</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989</v>
      </c>
      <c r="B908" t="s">
        <v>31</v>
      </c>
      <c r="C908">
        <v>3</v>
      </c>
      <c r="D908">
        <v>94.1</v>
      </c>
      <c r="E908">
        <v>282.29999999999995</v>
      </c>
      <c r="F908" s="1">
        <v>45694</v>
      </c>
      <c r="G908" s="1">
        <v>45707</v>
      </c>
      <c r="H908" t="s">
        <v>12</v>
      </c>
      <c r="I908" t="s">
        <v>25</v>
      </c>
      <c r="J908">
        <v>5</v>
      </c>
      <c r="K908" t="s">
        <v>4</v>
      </c>
      <c r="L908" t="s">
        <v>18</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990</v>
      </c>
      <c r="B909" t="s">
        <v>29</v>
      </c>
      <c r="C909">
        <v>3</v>
      </c>
      <c r="D909">
        <v>17.899999999999999</v>
      </c>
      <c r="E909">
        <v>53.699999999999996</v>
      </c>
      <c r="F909" s="1">
        <v>45694</v>
      </c>
      <c r="G909" s="1">
        <v>45696</v>
      </c>
      <c r="H909" t="s">
        <v>8</v>
      </c>
      <c r="I909" t="s">
        <v>20</v>
      </c>
      <c r="J909">
        <v>3</v>
      </c>
      <c r="K909" t="s">
        <v>4</v>
      </c>
      <c r="L909" t="s">
        <v>18</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991</v>
      </c>
      <c r="B910" t="s">
        <v>54</v>
      </c>
      <c r="C910">
        <v>7</v>
      </c>
      <c r="D910">
        <v>52.7</v>
      </c>
      <c r="E910">
        <v>368.90000000000003</v>
      </c>
      <c r="F910" s="1">
        <v>45694</v>
      </c>
      <c r="G910" s="1">
        <v>45695</v>
      </c>
      <c r="H910" t="s">
        <v>8</v>
      </c>
      <c r="I910" t="s">
        <v>20</v>
      </c>
      <c r="J910">
        <v>3</v>
      </c>
      <c r="K910" t="s">
        <v>4</v>
      </c>
      <c r="L910" t="s">
        <v>18</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992</v>
      </c>
      <c r="B911" t="s">
        <v>29</v>
      </c>
      <c r="C911">
        <v>1</v>
      </c>
      <c r="D911">
        <v>36.799999999999997</v>
      </c>
      <c r="E911">
        <v>36.799999999999997</v>
      </c>
      <c r="F911" s="1">
        <v>45694</v>
      </c>
      <c r="G911" s="1">
        <v>45694</v>
      </c>
      <c r="H911" t="s">
        <v>2</v>
      </c>
      <c r="I911" t="s">
        <v>3</v>
      </c>
      <c r="J911">
        <v>5</v>
      </c>
      <c r="K911" t="s">
        <v>4</v>
      </c>
      <c r="L911" t="s">
        <v>18</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993</v>
      </c>
      <c r="B912" t="s">
        <v>17</v>
      </c>
      <c r="C912">
        <v>1</v>
      </c>
      <c r="D912">
        <v>52.5</v>
      </c>
      <c r="E912">
        <v>52.5</v>
      </c>
      <c r="F912" s="1">
        <v>45694</v>
      </c>
      <c r="G912" s="1">
        <v>45695</v>
      </c>
      <c r="H912" t="s">
        <v>8</v>
      </c>
      <c r="I912" t="s">
        <v>3</v>
      </c>
      <c r="J912">
        <v>3</v>
      </c>
      <c r="K912" t="s">
        <v>4</v>
      </c>
      <c r="L912" t="s">
        <v>40</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994</v>
      </c>
      <c r="B913" t="s">
        <v>11</v>
      </c>
      <c r="C913">
        <v>2</v>
      </c>
      <c r="D913">
        <v>133.80000000000001</v>
      </c>
      <c r="E913">
        <v>267.60000000000002</v>
      </c>
      <c r="F913" s="1">
        <v>45694</v>
      </c>
      <c r="G913" s="1">
        <v>45696</v>
      </c>
      <c r="H913" t="s">
        <v>8</v>
      </c>
      <c r="I913" t="s">
        <v>3</v>
      </c>
      <c r="J913">
        <v>3</v>
      </c>
      <c r="K913" t="s">
        <v>4</v>
      </c>
      <c r="L913" t="s">
        <v>44</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995</v>
      </c>
      <c r="B914" t="s">
        <v>24</v>
      </c>
      <c r="C914">
        <v>2</v>
      </c>
      <c r="D914">
        <v>53.2</v>
      </c>
      <c r="E914">
        <v>106.4</v>
      </c>
      <c r="F914" s="1">
        <v>45694</v>
      </c>
      <c r="G914" s="1">
        <v>45696</v>
      </c>
      <c r="H914" t="s">
        <v>8</v>
      </c>
      <c r="I914" t="s">
        <v>3</v>
      </c>
      <c r="J914">
        <v>4</v>
      </c>
      <c r="K914" t="s">
        <v>4</v>
      </c>
      <c r="L914" t="s">
        <v>88</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996</v>
      </c>
      <c r="B915" t="s">
        <v>66</v>
      </c>
      <c r="C915">
        <v>6</v>
      </c>
      <c r="D915">
        <v>18.7</v>
      </c>
      <c r="E915">
        <v>112.19999999999999</v>
      </c>
      <c r="F915" s="1">
        <v>45694</v>
      </c>
      <c r="G915" s="1">
        <v>45696</v>
      </c>
      <c r="H915" t="s">
        <v>2</v>
      </c>
      <c r="I915" t="s">
        <v>3</v>
      </c>
      <c r="J915">
        <v>3</v>
      </c>
      <c r="K915" t="s">
        <v>4</v>
      </c>
      <c r="L915" t="s">
        <v>59</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997</v>
      </c>
      <c r="B916" t="s">
        <v>24</v>
      </c>
      <c r="C916">
        <v>4</v>
      </c>
      <c r="D916">
        <v>108.8</v>
      </c>
      <c r="E916">
        <v>435.2</v>
      </c>
      <c r="F916" s="1">
        <v>45694</v>
      </c>
      <c r="G916" s="1">
        <v>45695</v>
      </c>
      <c r="H916" t="s">
        <v>12</v>
      </c>
      <c r="I916" t="s">
        <v>36</v>
      </c>
      <c r="J916">
        <v>5</v>
      </c>
      <c r="K916" t="s">
        <v>4</v>
      </c>
      <c r="L916" t="s">
        <v>62</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998</v>
      </c>
      <c r="B917" t="s">
        <v>108</v>
      </c>
      <c r="C917">
        <v>5</v>
      </c>
      <c r="D917">
        <v>38.5</v>
      </c>
      <c r="E917">
        <v>192.5</v>
      </c>
      <c r="F917" s="1">
        <v>45694</v>
      </c>
      <c r="G917" s="1">
        <v>45698</v>
      </c>
      <c r="H917" t="s">
        <v>12</v>
      </c>
      <c r="I917" t="s">
        <v>3</v>
      </c>
      <c r="J917">
        <v>3</v>
      </c>
      <c r="K917" t="s">
        <v>4</v>
      </c>
      <c r="L917" t="s">
        <v>69</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999</v>
      </c>
      <c r="B918" t="s">
        <v>39</v>
      </c>
      <c r="C918">
        <v>10</v>
      </c>
      <c r="D918">
        <v>46.5</v>
      </c>
      <c r="E918">
        <v>465</v>
      </c>
      <c r="F918" s="1">
        <v>45694</v>
      </c>
      <c r="G918" s="1">
        <v>45696</v>
      </c>
      <c r="H918" t="s">
        <v>8</v>
      </c>
      <c r="I918" t="s">
        <v>25</v>
      </c>
      <c r="J918">
        <v>3</v>
      </c>
      <c r="K918" t="s">
        <v>4</v>
      </c>
      <c r="L918" t="s">
        <v>13</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1000</v>
      </c>
      <c r="B919" t="s">
        <v>11</v>
      </c>
      <c r="C919">
        <v>3</v>
      </c>
      <c r="D919">
        <v>75.8</v>
      </c>
      <c r="E919">
        <v>227.39999999999998</v>
      </c>
      <c r="F919" s="1">
        <v>45694</v>
      </c>
      <c r="G919" s="1">
        <v>45698</v>
      </c>
      <c r="H919" t="s">
        <v>12</v>
      </c>
      <c r="I919" t="s">
        <v>20</v>
      </c>
      <c r="J919">
        <v>2</v>
      </c>
      <c r="K919" t="s">
        <v>4</v>
      </c>
      <c r="L919" t="s">
        <v>572</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1001</v>
      </c>
      <c r="B920" t="s">
        <v>29</v>
      </c>
      <c r="C920">
        <v>1</v>
      </c>
      <c r="D920">
        <v>20.9</v>
      </c>
      <c r="E920">
        <v>20.9</v>
      </c>
      <c r="F920" s="1">
        <v>45694</v>
      </c>
      <c r="G920" s="1">
        <v>45698</v>
      </c>
      <c r="H920" t="s">
        <v>8</v>
      </c>
      <c r="I920" t="s">
        <v>3</v>
      </c>
      <c r="J920">
        <v>4</v>
      </c>
      <c r="K920" t="s">
        <v>4</v>
      </c>
      <c r="L920" t="s">
        <v>132</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1002</v>
      </c>
      <c r="B921" t="s">
        <v>131</v>
      </c>
      <c r="C921">
        <v>3</v>
      </c>
      <c r="D921">
        <v>47.4</v>
      </c>
      <c r="E921">
        <v>142.19999999999999</v>
      </c>
      <c r="F921" s="1">
        <v>45694</v>
      </c>
      <c r="G921" s="1">
        <v>45697</v>
      </c>
      <c r="H921" t="s">
        <v>12</v>
      </c>
      <c r="I921" t="s">
        <v>3</v>
      </c>
      <c r="J921">
        <v>4</v>
      </c>
      <c r="K921" t="s">
        <v>4</v>
      </c>
      <c r="L921" t="s">
        <v>18</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1003</v>
      </c>
      <c r="B922" t="s">
        <v>31</v>
      </c>
      <c r="C922">
        <v>2</v>
      </c>
      <c r="D922">
        <v>53.8</v>
      </c>
      <c r="E922">
        <v>107.6</v>
      </c>
      <c r="F922" s="1">
        <v>45694</v>
      </c>
      <c r="G922" s="1">
        <v>45695</v>
      </c>
      <c r="H922" t="s">
        <v>2</v>
      </c>
      <c r="I922" t="s">
        <v>3</v>
      </c>
      <c r="J922">
        <v>3</v>
      </c>
      <c r="K922" t="s">
        <v>4</v>
      </c>
      <c r="L922" t="s">
        <v>18</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1004</v>
      </c>
      <c r="B923" t="s">
        <v>29</v>
      </c>
      <c r="C923">
        <v>3</v>
      </c>
      <c r="D923">
        <v>24.6</v>
      </c>
      <c r="E923">
        <v>73.800000000000011</v>
      </c>
      <c r="F923" s="1">
        <v>45694</v>
      </c>
      <c r="G923" s="1">
        <v>45696</v>
      </c>
      <c r="H923" t="s">
        <v>74</v>
      </c>
      <c r="I923" t="s">
        <v>20</v>
      </c>
      <c r="J923">
        <v>5</v>
      </c>
      <c r="K923" t="s">
        <v>4</v>
      </c>
      <c r="L923" t="s">
        <v>18</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1005</v>
      </c>
      <c r="B924" t="s">
        <v>31</v>
      </c>
      <c r="C924">
        <v>3</v>
      </c>
      <c r="D924">
        <v>70.900000000000006</v>
      </c>
      <c r="E924">
        <v>212.70000000000002</v>
      </c>
      <c r="F924" s="1">
        <v>45694</v>
      </c>
      <c r="G924" s="1">
        <v>45699</v>
      </c>
      <c r="H924" t="s">
        <v>12</v>
      </c>
      <c r="I924" t="s">
        <v>25</v>
      </c>
      <c r="J924">
        <v>5</v>
      </c>
      <c r="K924" t="s">
        <v>4</v>
      </c>
      <c r="L924" t="s">
        <v>18</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1006</v>
      </c>
      <c r="B925" t="s">
        <v>120</v>
      </c>
      <c r="C925">
        <v>3</v>
      </c>
      <c r="D925">
        <v>31.9</v>
      </c>
      <c r="E925">
        <v>95.699999999999989</v>
      </c>
      <c r="F925" s="1">
        <v>45694</v>
      </c>
      <c r="G925" s="1">
        <v>45696</v>
      </c>
      <c r="H925" t="s">
        <v>12</v>
      </c>
      <c r="I925" t="s">
        <v>25</v>
      </c>
      <c r="J925">
        <v>5</v>
      </c>
      <c r="K925" t="s">
        <v>4</v>
      </c>
      <c r="L925" t="s">
        <v>18</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1007</v>
      </c>
      <c r="B926" t="s">
        <v>1</v>
      </c>
      <c r="C926">
        <v>2</v>
      </c>
      <c r="D926">
        <v>20.399999999999999</v>
      </c>
      <c r="E926">
        <v>40.799999999999997</v>
      </c>
      <c r="F926" s="1">
        <v>45694</v>
      </c>
      <c r="G926" s="1">
        <v>45698</v>
      </c>
      <c r="H926" t="s">
        <v>8</v>
      </c>
      <c r="I926" t="s">
        <v>36</v>
      </c>
      <c r="J926">
        <v>5</v>
      </c>
      <c r="K926" t="s">
        <v>4</v>
      </c>
      <c r="L926" t="s">
        <v>18</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1008</v>
      </c>
      <c r="B927" t="s">
        <v>29</v>
      </c>
      <c r="C927">
        <v>2</v>
      </c>
      <c r="D927">
        <v>18.600000000000001</v>
      </c>
      <c r="E927">
        <v>37.200000000000003</v>
      </c>
      <c r="F927" s="1">
        <v>45694</v>
      </c>
      <c r="G927" s="1">
        <v>45696</v>
      </c>
      <c r="H927" t="s">
        <v>2</v>
      </c>
      <c r="I927" t="s">
        <v>3</v>
      </c>
      <c r="J927">
        <v>3</v>
      </c>
      <c r="K927" t="s">
        <v>4</v>
      </c>
      <c r="L927" t="s">
        <v>18</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1009</v>
      </c>
      <c r="B928" t="s">
        <v>17</v>
      </c>
      <c r="C928">
        <v>5</v>
      </c>
      <c r="D928">
        <v>48.3</v>
      </c>
      <c r="E928">
        <v>241.5</v>
      </c>
      <c r="F928" s="1">
        <v>45694</v>
      </c>
      <c r="G928" s="1">
        <v>45696</v>
      </c>
      <c r="H928" t="s">
        <v>12</v>
      </c>
      <c r="I928" t="s">
        <v>20</v>
      </c>
      <c r="J928">
        <v>4</v>
      </c>
      <c r="K928" t="s">
        <v>4</v>
      </c>
      <c r="L928" t="s">
        <v>18</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1010</v>
      </c>
      <c r="B929" t="s">
        <v>1</v>
      </c>
      <c r="C929">
        <v>4</v>
      </c>
      <c r="D929">
        <v>27.7</v>
      </c>
      <c r="E929">
        <v>110.8</v>
      </c>
      <c r="F929" s="1">
        <v>45694</v>
      </c>
      <c r="G929" s="1">
        <v>45696</v>
      </c>
      <c r="H929" t="s">
        <v>12</v>
      </c>
      <c r="I929" t="s">
        <v>3</v>
      </c>
      <c r="J929">
        <v>4</v>
      </c>
      <c r="K929" t="s">
        <v>4</v>
      </c>
      <c r="L929" t="s">
        <v>18</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1011</v>
      </c>
      <c r="B930" t="s">
        <v>17</v>
      </c>
      <c r="C930">
        <v>5</v>
      </c>
      <c r="D930">
        <v>22.5</v>
      </c>
      <c r="E930">
        <v>112.5</v>
      </c>
      <c r="F930" s="1">
        <v>45694</v>
      </c>
      <c r="G930" s="1">
        <v>45696</v>
      </c>
      <c r="H930" t="s">
        <v>12</v>
      </c>
      <c r="I930" t="s">
        <v>55</v>
      </c>
      <c r="J930">
        <v>5</v>
      </c>
      <c r="K930" t="s">
        <v>4</v>
      </c>
      <c r="L930" t="s">
        <v>18</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1012</v>
      </c>
      <c r="B931" t="s">
        <v>120</v>
      </c>
      <c r="C931">
        <v>5</v>
      </c>
      <c r="D931">
        <v>21.6</v>
      </c>
      <c r="E931">
        <v>108</v>
      </c>
      <c r="F931" s="1">
        <v>45694</v>
      </c>
      <c r="G931" s="1">
        <v>45702</v>
      </c>
      <c r="H931" t="s">
        <v>12</v>
      </c>
      <c r="I931" t="s">
        <v>3</v>
      </c>
      <c r="J931">
        <v>3</v>
      </c>
      <c r="K931" t="s">
        <v>4</v>
      </c>
      <c r="L931" t="s">
        <v>18</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1013</v>
      </c>
      <c r="B932" t="s">
        <v>39</v>
      </c>
      <c r="C932">
        <v>7</v>
      </c>
      <c r="D932">
        <v>26.3</v>
      </c>
      <c r="E932">
        <v>184.1</v>
      </c>
      <c r="F932" s="1">
        <v>45694</v>
      </c>
      <c r="G932" s="1">
        <v>45694</v>
      </c>
      <c r="H932" t="s">
        <v>12</v>
      </c>
      <c r="I932" t="s">
        <v>25</v>
      </c>
      <c r="J932">
        <v>3</v>
      </c>
      <c r="K932" t="s">
        <v>4</v>
      </c>
      <c r="L932" t="s">
        <v>18</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1014</v>
      </c>
      <c r="B933" t="s">
        <v>24</v>
      </c>
      <c r="C933">
        <v>7</v>
      </c>
      <c r="D933">
        <v>103</v>
      </c>
      <c r="E933">
        <v>721</v>
      </c>
      <c r="F933" s="1">
        <v>45695</v>
      </c>
      <c r="G933" s="1">
        <v>45696</v>
      </c>
      <c r="H933" t="s">
        <v>8</v>
      </c>
      <c r="I933" t="s">
        <v>3</v>
      </c>
      <c r="J933">
        <v>5</v>
      </c>
      <c r="K933" t="s">
        <v>4</v>
      </c>
      <c r="L933" t="s">
        <v>40</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1015</v>
      </c>
      <c r="B934" t="s">
        <v>22</v>
      </c>
      <c r="C934">
        <v>15</v>
      </c>
      <c r="D934">
        <v>46.6</v>
      </c>
      <c r="E934">
        <v>699</v>
      </c>
      <c r="F934" s="1">
        <v>45695</v>
      </c>
      <c r="G934" s="1">
        <v>45696</v>
      </c>
      <c r="H934" t="s">
        <v>12</v>
      </c>
      <c r="I934" t="s">
        <v>3</v>
      </c>
      <c r="J934">
        <v>3</v>
      </c>
      <c r="K934" t="s">
        <v>4</v>
      </c>
      <c r="L934" t="s">
        <v>40</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1016</v>
      </c>
      <c r="B935" t="s">
        <v>1</v>
      </c>
      <c r="C935">
        <v>5</v>
      </c>
      <c r="D935">
        <v>32.200000000000003</v>
      </c>
      <c r="E935">
        <v>161</v>
      </c>
      <c r="F935" s="1">
        <v>45695</v>
      </c>
      <c r="G935" s="1">
        <v>45698</v>
      </c>
      <c r="H935" t="s">
        <v>12</v>
      </c>
      <c r="I935" t="s">
        <v>3</v>
      </c>
      <c r="J935">
        <v>5</v>
      </c>
      <c r="K935" t="s">
        <v>4</v>
      </c>
      <c r="L935" t="s">
        <v>327</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1017</v>
      </c>
      <c r="B936" t="s">
        <v>29</v>
      </c>
      <c r="C936">
        <v>3</v>
      </c>
      <c r="D936">
        <v>22</v>
      </c>
      <c r="E936">
        <v>66</v>
      </c>
      <c r="F936" s="1">
        <v>45695</v>
      </c>
      <c r="G936" s="1">
        <v>45702</v>
      </c>
      <c r="H936" t="s">
        <v>8</v>
      </c>
      <c r="I936" t="s">
        <v>20</v>
      </c>
      <c r="J936">
        <v>4</v>
      </c>
      <c r="K936" t="s">
        <v>4</v>
      </c>
      <c r="L936" t="s">
        <v>44</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1018</v>
      </c>
      <c r="B937" t="s">
        <v>1</v>
      </c>
      <c r="C937">
        <v>2</v>
      </c>
      <c r="D937">
        <v>25.2</v>
      </c>
      <c r="E937">
        <v>50.4</v>
      </c>
      <c r="F937" s="1">
        <v>45695</v>
      </c>
      <c r="G937" s="1">
        <v>45699</v>
      </c>
      <c r="H937" t="s">
        <v>12</v>
      </c>
      <c r="I937" t="s">
        <v>3</v>
      </c>
      <c r="J937">
        <v>4</v>
      </c>
      <c r="K937" t="s">
        <v>4</v>
      </c>
      <c r="L937" t="s">
        <v>44</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1019</v>
      </c>
      <c r="B938" t="s">
        <v>7</v>
      </c>
      <c r="C938">
        <v>6</v>
      </c>
      <c r="D938">
        <v>68.7</v>
      </c>
      <c r="E938">
        <v>412.20000000000005</v>
      </c>
      <c r="F938" s="1">
        <v>45695</v>
      </c>
      <c r="G938" s="1">
        <v>45697</v>
      </c>
      <c r="H938" t="s">
        <v>8</v>
      </c>
      <c r="I938" t="s">
        <v>55</v>
      </c>
      <c r="J938">
        <v>4</v>
      </c>
      <c r="K938" t="s">
        <v>4</v>
      </c>
      <c r="L938" t="s">
        <v>47</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1020</v>
      </c>
      <c r="B939" t="s">
        <v>1</v>
      </c>
      <c r="C939">
        <v>3</v>
      </c>
      <c r="D939">
        <v>22.2</v>
      </c>
      <c r="E939">
        <v>66.599999999999994</v>
      </c>
      <c r="F939" s="1">
        <v>45695</v>
      </c>
      <c r="G939" s="1">
        <v>45698</v>
      </c>
      <c r="H939" t="s">
        <v>8</v>
      </c>
      <c r="I939" t="s">
        <v>25</v>
      </c>
      <c r="J939">
        <v>5</v>
      </c>
      <c r="K939" t="s">
        <v>4</v>
      </c>
      <c r="L939" t="s">
        <v>47</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1021</v>
      </c>
      <c r="B940" t="s">
        <v>7</v>
      </c>
      <c r="C940">
        <v>7</v>
      </c>
      <c r="D940">
        <v>36</v>
      </c>
      <c r="E940">
        <v>252</v>
      </c>
      <c r="F940" s="1">
        <v>45695</v>
      </c>
      <c r="G940" s="1">
        <v>45696</v>
      </c>
      <c r="H940" t="s">
        <v>12</v>
      </c>
      <c r="I940" t="s">
        <v>20</v>
      </c>
      <c r="J940">
        <v>4</v>
      </c>
      <c r="K940" t="s">
        <v>4</v>
      </c>
      <c r="L940" t="s">
        <v>47</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1022</v>
      </c>
      <c r="B941" t="s">
        <v>131</v>
      </c>
      <c r="C941">
        <v>1</v>
      </c>
      <c r="D941">
        <v>50.6</v>
      </c>
      <c r="E941">
        <v>50.6</v>
      </c>
      <c r="F941" s="1">
        <v>45695</v>
      </c>
      <c r="G941" s="1">
        <v>45697</v>
      </c>
      <c r="H941" t="s">
        <v>12</v>
      </c>
      <c r="I941" t="s">
        <v>3</v>
      </c>
      <c r="J941">
        <v>3</v>
      </c>
      <c r="K941" t="s">
        <v>4</v>
      </c>
      <c r="L941" t="s">
        <v>47</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1023</v>
      </c>
      <c r="B942" t="s">
        <v>108</v>
      </c>
      <c r="C942">
        <v>2</v>
      </c>
      <c r="D942">
        <v>44.9</v>
      </c>
      <c r="E942">
        <v>89.8</v>
      </c>
      <c r="F942" s="1">
        <v>45695</v>
      </c>
      <c r="G942" s="1">
        <v>45697</v>
      </c>
      <c r="H942" t="s">
        <v>8</v>
      </c>
      <c r="I942" t="s">
        <v>3</v>
      </c>
      <c r="J942">
        <v>3</v>
      </c>
      <c r="K942" t="s">
        <v>4</v>
      </c>
      <c r="L942" t="s">
        <v>47</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1024</v>
      </c>
      <c r="B943" t="s">
        <v>24</v>
      </c>
      <c r="C943">
        <v>3</v>
      </c>
      <c r="D943">
        <v>71.599999999999994</v>
      </c>
      <c r="E943">
        <v>214.79999999999998</v>
      </c>
      <c r="F943" s="1">
        <v>45695</v>
      </c>
      <c r="G943" s="1">
        <v>45699</v>
      </c>
      <c r="H943" t="s">
        <v>8</v>
      </c>
      <c r="I943" t="s">
        <v>20</v>
      </c>
      <c r="J943">
        <v>5</v>
      </c>
      <c r="K943" t="s">
        <v>4</v>
      </c>
      <c r="L943" t="s">
        <v>59</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1025</v>
      </c>
      <c r="B944" t="s">
        <v>24</v>
      </c>
      <c r="C944">
        <v>6</v>
      </c>
      <c r="D944">
        <v>51.5</v>
      </c>
      <c r="E944">
        <v>309</v>
      </c>
      <c r="F944" s="1">
        <v>45695</v>
      </c>
      <c r="G944" s="1">
        <v>45697</v>
      </c>
      <c r="H944" t="s">
        <v>2</v>
      </c>
      <c r="I944" t="s">
        <v>55</v>
      </c>
      <c r="J944">
        <v>4</v>
      </c>
      <c r="K944" t="s">
        <v>4</v>
      </c>
      <c r="L944" t="s">
        <v>62</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1026</v>
      </c>
      <c r="B945" t="s">
        <v>27</v>
      </c>
      <c r="C945">
        <v>5</v>
      </c>
      <c r="D945">
        <v>55.5</v>
      </c>
      <c r="E945">
        <v>277.5</v>
      </c>
      <c r="F945" s="1">
        <v>45695</v>
      </c>
      <c r="G945" s="1">
        <v>45696</v>
      </c>
      <c r="H945" t="s">
        <v>8</v>
      </c>
      <c r="I945" t="s">
        <v>20</v>
      </c>
      <c r="J945">
        <v>3</v>
      </c>
      <c r="K945" t="s">
        <v>4</v>
      </c>
      <c r="L945" t="s">
        <v>62</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1027</v>
      </c>
      <c r="B946" t="s">
        <v>24</v>
      </c>
      <c r="C946">
        <v>1</v>
      </c>
      <c r="D946">
        <v>51.7</v>
      </c>
      <c r="E946">
        <v>51.7</v>
      </c>
      <c r="F946" s="1">
        <v>45695</v>
      </c>
      <c r="G946" s="1">
        <v>45709</v>
      </c>
      <c r="H946" t="s">
        <v>8</v>
      </c>
      <c r="I946" t="s">
        <v>25</v>
      </c>
      <c r="J946">
        <v>4</v>
      </c>
      <c r="K946" t="s">
        <v>4</v>
      </c>
      <c r="L946" t="s">
        <v>95</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1028</v>
      </c>
      <c r="B947" t="s">
        <v>29</v>
      </c>
      <c r="C947">
        <v>21</v>
      </c>
      <c r="D947">
        <v>45.5</v>
      </c>
      <c r="E947">
        <v>955.5</v>
      </c>
      <c r="F947" s="1">
        <v>45695</v>
      </c>
      <c r="G947" s="1">
        <v>45696</v>
      </c>
      <c r="H947" t="s">
        <v>12</v>
      </c>
      <c r="I947" t="s">
        <v>36</v>
      </c>
      <c r="J947">
        <v>5</v>
      </c>
      <c r="K947" t="s">
        <v>4</v>
      </c>
      <c r="L947" t="s">
        <v>95</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1029</v>
      </c>
      <c r="B948" t="s">
        <v>29</v>
      </c>
      <c r="C948">
        <v>2</v>
      </c>
      <c r="D948">
        <v>33.799999999999997</v>
      </c>
      <c r="E948">
        <v>67.599999999999994</v>
      </c>
      <c r="F948" s="1">
        <v>45695</v>
      </c>
      <c r="G948" s="1">
        <v>45701</v>
      </c>
      <c r="H948" t="s">
        <v>12</v>
      </c>
      <c r="I948" t="s">
        <v>36</v>
      </c>
      <c r="J948">
        <v>4</v>
      </c>
      <c r="K948" t="s">
        <v>4</v>
      </c>
      <c r="L948" t="s">
        <v>98</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1030</v>
      </c>
      <c r="B949" t="s">
        <v>15</v>
      </c>
      <c r="C949">
        <v>3</v>
      </c>
      <c r="D949">
        <v>76.5</v>
      </c>
      <c r="E949">
        <v>229.5</v>
      </c>
      <c r="F949" s="1">
        <v>45695</v>
      </c>
      <c r="G949" s="1">
        <v>45696</v>
      </c>
      <c r="H949" t="s">
        <v>12</v>
      </c>
      <c r="I949" t="s">
        <v>3</v>
      </c>
      <c r="J949">
        <v>3</v>
      </c>
      <c r="K949" t="s">
        <v>4</v>
      </c>
      <c r="L949" t="s">
        <v>100</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1031</v>
      </c>
      <c r="B950" t="s">
        <v>31</v>
      </c>
      <c r="C950">
        <v>3</v>
      </c>
      <c r="D950">
        <v>42.6</v>
      </c>
      <c r="E950">
        <v>127.80000000000001</v>
      </c>
      <c r="F950" s="1">
        <v>45695</v>
      </c>
      <c r="G950" s="1">
        <v>45701</v>
      </c>
      <c r="H950" t="s">
        <v>12</v>
      </c>
      <c r="I950" t="s">
        <v>25</v>
      </c>
      <c r="J950">
        <v>5</v>
      </c>
      <c r="K950" t="s">
        <v>4</v>
      </c>
      <c r="L950" t="s">
        <v>13</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1032</v>
      </c>
      <c r="B951" t="s">
        <v>24</v>
      </c>
      <c r="C951">
        <v>3</v>
      </c>
      <c r="D951">
        <v>44.1</v>
      </c>
      <c r="E951">
        <v>132.30000000000001</v>
      </c>
      <c r="F951" s="1">
        <v>45695</v>
      </c>
      <c r="G951" s="1">
        <v>45697</v>
      </c>
      <c r="H951" t="s">
        <v>12</v>
      </c>
      <c r="I951" t="s">
        <v>20</v>
      </c>
      <c r="J951">
        <v>3</v>
      </c>
      <c r="K951" t="s">
        <v>4</v>
      </c>
      <c r="L951" t="s">
        <v>132</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1033</v>
      </c>
      <c r="B952" t="s">
        <v>29</v>
      </c>
      <c r="C952">
        <v>2</v>
      </c>
      <c r="D952">
        <v>40.9</v>
      </c>
      <c r="E952">
        <v>81.8</v>
      </c>
      <c r="F952" s="1">
        <v>45695</v>
      </c>
      <c r="G952" s="1">
        <v>45699</v>
      </c>
      <c r="H952" t="s">
        <v>8</v>
      </c>
      <c r="I952" t="s">
        <v>3</v>
      </c>
      <c r="J952">
        <v>4</v>
      </c>
      <c r="K952" t="s">
        <v>4</v>
      </c>
      <c r="L952" t="s">
        <v>18</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1034</v>
      </c>
      <c r="B953" t="s">
        <v>31</v>
      </c>
      <c r="C953">
        <v>3</v>
      </c>
      <c r="D953">
        <v>49.1</v>
      </c>
      <c r="E953">
        <v>147.30000000000001</v>
      </c>
      <c r="F953" s="1">
        <v>45695</v>
      </c>
      <c r="G953" s="1">
        <v>45699</v>
      </c>
      <c r="H953" t="s">
        <v>12</v>
      </c>
      <c r="I953" t="s">
        <v>36</v>
      </c>
      <c r="J953">
        <v>3</v>
      </c>
      <c r="K953" t="s">
        <v>4</v>
      </c>
      <c r="L953" t="s">
        <v>18</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1035</v>
      </c>
      <c r="B954" t="s">
        <v>131</v>
      </c>
      <c r="C954">
        <v>1</v>
      </c>
      <c r="D954">
        <v>85.3</v>
      </c>
      <c r="E954">
        <v>85.3</v>
      </c>
      <c r="F954" s="1">
        <v>45695</v>
      </c>
      <c r="G954" s="1">
        <v>45699</v>
      </c>
      <c r="H954" t="s">
        <v>8</v>
      </c>
      <c r="I954" t="s">
        <v>20</v>
      </c>
      <c r="J954">
        <v>3</v>
      </c>
      <c r="K954" t="s">
        <v>4</v>
      </c>
      <c r="L954" t="s">
        <v>18</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1036</v>
      </c>
      <c r="B955" t="s">
        <v>24</v>
      </c>
      <c r="C955">
        <v>4</v>
      </c>
      <c r="D955">
        <v>43.1</v>
      </c>
      <c r="E955">
        <v>172.4</v>
      </c>
      <c r="F955" s="1">
        <v>45696</v>
      </c>
      <c r="G955" s="1">
        <v>45699</v>
      </c>
      <c r="H955" t="s">
        <v>8</v>
      </c>
      <c r="I955" t="s">
        <v>3</v>
      </c>
      <c r="J955">
        <v>4</v>
      </c>
      <c r="K955" t="s">
        <v>4</v>
      </c>
      <c r="L955" t="s">
        <v>18</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1037</v>
      </c>
      <c r="B956" t="s">
        <v>17</v>
      </c>
      <c r="C956">
        <v>4</v>
      </c>
      <c r="D956">
        <v>46.2</v>
      </c>
      <c r="E956">
        <v>184.8</v>
      </c>
      <c r="F956" s="1">
        <v>45696</v>
      </c>
      <c r="G956" s="1">
        <v>45697</v>
      </c>
      <c r="H956" t="s">
        <v>8</v>
      </c>
      <c r="I956" t="s">
        <v>25</v>
      </c>
      <c r="J956">
        <v>4</v>
      </c>
      <c r="K956" t="s">
        <v>4</v>
      </c>
      <c r="L956" t="s">
        <v>18</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1038</v>
      </c>
      <c r="B957" t="s">
        <v>7</v>
      </c>
      <c r="C957">
        <v>1</v>
      </c>
      <c r="D957">
        <v>74.400000000000006</v>
      </c>
      <c r="E957">
        <v>74.400000000000006</v>
      </c>
      <c r="F957" s="1">
        <v>45696</v>
      </c>
      <c r="G957" s="1">
        <v>45698</v>
      </c>
      <c r="H957" t="s">
        <v>8</v>
      </c>
      <c r="I957" t="s">
        <v>55</v>
      </c>
      <c r="J957">
        <v>5</v>
      </c>
      <c r="K957" t="s">
        <v>4</v>
      </c>
      <c r="L957" t="s">
        <v>18</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1039</v>
      </c>
      <c r="B958" t="s">
        <v>120</v>
      </c>
      <c r="C958">
        <v>2</v>
      </c>
      <c r="D958">
        <v>51.2</v>
      </c>
      <c r="E958">
        <v>102.4</v>
      </c>
      <c r="F958" s="1">
        <v>45696</v>
      </c>
      <c r="G958" s="1">
        <v>45697</v>
      </c>
      <c r="H958" t="s">
        <v>8</v>
      </c>
      <c r="I958" t="s">
        <v>20</v>
      </c>
      <c r="J958">
        <v>4</v>
      </c>
      <c r="K958" t="s">
        <v>4</v>
      </c>
      <c r="L958" t="s">
        <v>18</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1040</v>
      </c>
      <c r="B959" t="s">
        <v>66</v>
      </c>
      <c r="C959">
        <v>4</v>
      </c>
      <c r="D959">
        <v>11.8</v>
      </c>
      <c r="E959">
        <v>47.2</v>
      </c>
      <c r="F959" s="1">
        <v>45696</v>
      </c>
      <c r="G959" s="1">
        <v>45696</v>
      </c>
      <c r="H959" t="s">
        <v>8</v>
      </c>
      <c r="I959" t="s">
        <v>25</v>
      </c>
      <c r="J959">
        <v>4</v>
      </c>
      <c r="K959" t="s">
        <v>4</v>
      </c>
      <c r="L959" t="s">
        <v>18</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1041</v>
      </c>
      <c r="B960" t="s">
        <v>39</v>
      </c>
      <c r="C960">
        <v>27</v>
      </c>
      <c r="D960">
        <v>40.799999999999997</v>
      </c>
      <c r="E960">
        <v>1101.5999999999999</v>
      </c>
      <c r="F960" s="1">
        <v>45696</v>
      </c>
      <c r="G960" s="1">
        <v>45697</v>
      </c>
      <c r="H960" t="s">
        <v>12</v>
      </c>
      <c r="I960" t="s">
        <v>36</v>
      </c>
      <c r="J960">
        <v>5</v>
      </c>
      <c r="K960" t="s">
        <v>4</v>
      </c>
      <c r="L960" t="s">
        <v>18</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1042</v>
      </c>
      <c r="B961" t="s">
        <v>29</v>
      </c>
      <c r="C961">
        <v>1</v>
      </c>
      <c r="D961">
        <v>24.7</v>
      </c>
      <c r="E961">
        <v>24.7</v>
      </c>
      <c r="F961" s="1">
        <v>45696</v>
      </c>
      <c r="G961" s="1">
        <v>45698</v>
      </c>
      <c r="H961" t="s">
        <v>12</v>
      </c>
      <c r="I961" t="s">
        <v>25</v>
      </c>
      <c r="J961">
        <v>3</v>
      </c>
      <c r="K961" t="s">
        <v>4</v>
      </c>
      <c r="L961" t="s">
        <v>18</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1043</v>
      </c>
      <c r="B962" t="s">
        <v>29</v>
      </c>
      <c r="C962">
        <v>7</v>
      </c>
      <c r="D962">
        <v>22.1</v>
      </c>
      <c r="E962">
        <v>154.70000000000002</v>
      </c>
      <c r="F962" s="1">
        <v>45696</v>
      </c>
      <c r="G962" s="1">
        <v>45696</v>
      </c>
      <c r="H962" t="s">
        <v>12</v>
      </c>
      <c r="I962" t="s">
        <v>25</v>
      </c>
      <c r="J962">
        <v>2</v>
      </c>
      <c r="K962" t="s">
        <v>4</v>
      </c>
      <c r="L962" t="s">
        <v>18</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1044</v>
      </c>
      <c r="B963" t="s">
        <v>29</v>
      </c>
      <c r="C963">
        <v>1</v>
      </c>
      <c r="D963">
        <v>18.100000000000001</v>
      </c>
      <c r="E963">
        <v>18.100000000000001</v>
      </c>
      <c r="F963" s="1">
        <v>45696</v>
      </c>
      <c r="G963" s="1">
        <v>45700</v>
      </c>
      <c r="H963" t="s">
        <v>8</v>
      </c>
      <c r="I963" t="s">
        <v>36</v>
      </c>
      <c r="J963">
        <v>5</v>
      </c>
      <c r="K963" t="s">
        <v>4</v>
      </c>
      <c r="L963" t="s">
        <v>18</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1045</v>
      </c>
      <c r="B964" t="s">
        <v>120</v>
      </c>
      <c r="C964">
        <v>2</v>
      </c>
      <c r="D964">
        <v>58.8</v>
      </c>
      <c r="E964">
        <v>117.6</v>
      </c>
      <c r="F964" s="1">
        <v>45696</v>
      </c>
      <c r="G964" s="1">
        <v>45699</v>
      </c>
      <c r="H964" t="s">
        <v>12</v>
      </c>
      <c r="I964" t="s">
        <v>3</v>
      </c>
      <c r="J964">
        <v>4</v>
      </c>
      <c r="K964" t="s">
        <v>4</v>
      </c>
      <c r="L964" t="s">
        <v>173</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1046</v>
      </c>
      <c r="B965" t="s">
        <v>131</v>
      </c>
      <c r="C965">
        <v>2</v>
      </c>
      <c r="D965">
        <v>30.8</v>
      </c>
      <c r="E965">
        <v>61.6</v>
      </c>
      <c r="F965" s="1">
        <v>45696</v>
      </c>
      <c r="G965" s="1">
        <v>45697</v>
      </c>
      <c r="H965" t="s">
        <v>12</v>
      </c>
      <c r="I965" t="s">
        <v>3</v>
      </c>
      <c r="J965">
        <v>4</v>
      </c>
      <c r="K965" t="s">
        <v>4</v>
      </c>
      <c r="L965" t="s">
        <v>40</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1047</v>
      </c>
      <c r="B966" t="s">
        <v>1</v>
      </c>
      <c r="C966">
        <v>2</v>
      </c>
      <c r="D966">
        <v>12</v>
      </c>
      <c r="E966">
        <v>24</v>
      </c>
      <c r="F966" s="1">
        <v>45696</v>
      </c>
      <c r="G966" s="1">
        <v>45700</v>
      </c>
      <c r="H966" t="s">
        <v>12</v>
      </c>
      <c r="I966" t="s">
        <v>3</v>
      </c>
      <c r="J966">
        <v>4</v>
      </c>
      <c r="K966" t="s">
        <v>4</v>
      </c>
      <c r="L966" t="s">
        <v>40</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1048</v>
      </c>
      <c r="B967" t="s">
        <v>1</v>
      </c>
      <c r="C967">
        <v>4</v>
      </c>
      <c r="D967">
        <v>13.6</v>
      </c>
      <c r="E967">
        <v>54.4</v>
      </c>
      <c r="F967" s="1">
        <v>45696</v>
      </c>
      <c r="G967" s="1">
        <v>45699</v>
      </c>
      <c r="H967" t="s">
        <v>8</v>
      </c>
      <c r="I967" t="s">
        <v>25</v>
      </c>
      <c r="J967">
        <v>4</v>
      </c>
      <c r="K967" t="s">
        <v>4</v>
      </c>
      <c r="L967" t="s">
        <v>40</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1049</v>
      </c>
      <c r="B968" t="s">
        <v>1</v>
      </c>
      <c r="C968">
        <v>1</v>
      </c>
      <c r="D968">
        <v>17.899999999999999</v>
      </c>
      <c r="E968">
        <v>17.899999999999999</v>
      </c>
      <c r="F968" s="1">
        <v>45696</v>
      </c>
      <c r="G968" s="1">
        <v>45697</v>
      </c>
      <c r="H968" t="s">
        <v>8</v>
      </c>
      <c r="I968" t="s">
        <v>36</v>
      </c>
      <c r="J968">
        <v>4</v>
      </c>
      <c r="K968" t="s">
        <v>4</v>
      </c>
      <c r="L968" t="s">
        <v>40</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1050</v>
      </c>
      <c r="B969" t="s">
        <v>31</v>
      </c>
      <c r="C969">
        <v>2</v>
      </c>
      <c r="D969">
        <v>38.6</v>
      </c>
      <c r="E969">
        <v>77.2</v>
      </c>
      <c r="F969" s="1">
        <v>45696</v>
      </c>
      <c r="G969" s="1">
        <v>45700</v>
      </c>
      <c r="H969" t="s">
        <v>12</v>
      </c>
      <c r="I969" t="s">
        <v>55</v>
      </c>
      <c r="J969">
        <v>4</v>
      </c>
      <c r="K969" t="s">
        <v>4</v>
      </c>
      <c r="L969" t="s">
        <v>44</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1051</v>
      </c>
      <c r="B970" t="s">
        <v>22</v>
      </c>
      <c r="C970">
        <v>5</v>
      </c>
      <c r="D970">
        <v>32.700000000000003</v>
      </c>
      <c r="E970">
        <v>163.5</v>
      </c>
      <c r="F970" s="1">
        <v>45696</v>
      </c>
      <c r="G970" s="1">
        <v>45697</v>
      </c>
      <c r="H970" t="s">
        <v>8</v>
      </c>
      <c r="I970" t="s">
        <v>25</v>
      </c>
      <c r="J970">
        <v>5</v>
      </c>
      <c r="K970" t="s">
        <v>4</v>
      </c>
      <c r="L970" t="s">
        <v>47</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1052</v>
      </c>
      <c r="B971" t="s">
        <v>15</v>
      </c>
      <c r="C971">
        <v>2</v>
      </c>
      <c r="D971">
        <v>111.4</v>
      </c>
      <c r="E971">
        <v>222.8</v>
      </c>
      <c r="F971" s="1">
        <v>45696</v>
      </c>
      <c r="G971" s="1">
        <v>45697</v>
      </c>
      <c r="H971" t="s">
        <v>12</v>
      </c>
      <c r="I971" t="s">
        <v>20</v>
      </c>
      <c r="J971">
        <v>4</v>
      </c>
      <c r="K971" t="s">
        <v>4</v>
      </c>
      <c r="L971" t="s">
        <v>47</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1053</v>
      </c>
      <c r="B972" t="s">
        <v>11</v>
      </c>
      <c r="C972">
        <v>6</v>
      </c>
      <c r="D972">
        <v>80.3</v>
      </c>
      <c r="E972">
        <v>481.79999999999995</v>
      </c>
      <c r="F972" s="1">
        <v>45696</v>
      </c>
      <c r="G972" s="1">
        <v>45698</v>
      </c>
      <c r="H972" t="s">
        <v>12</v>
      </c>
      <c r="I972" t="s">
        <v>20</v>
      </c>
      <c r="J972">
        <v>4</v>
      </c>
      <c r="K972" t="s">
        <v>4</v>
      </c>
      <c r="L972" t="s">
        <v>47</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1054</v>
      </c>
      <c r="B973" t="s">
        <v>24</v>
      </c>
      <c r="C973">
        <v>2</v>
      </c>
      <c r="D973">
        <v>58.9</v>
      </c>
      <c r="E973">
        <v>117.8</v>
      </c>
      <c r="F973" s="1">
        <v>45696</v>
      </c>
      <c r="G973" s="1">
        <v>45697</v>
      </c>
      <c r="H973" t="s">
        <v>8</v>
      </c>
      <c r="I973" t="s">
        <v>20</v>
      </c>
      <c r="J973">
        <v>4</v>
      </c>
      <c r="K973" t="s">
        <v>4</v>
      </c>
      <c r="L973" t="s">
        <v>47</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1055</v>
      </c>
      <c r="B974" t="s">
        <v>24</v>
      </c>
      <c r="C974">
        <v>3</v>
      </c>
      <c r="D974">
        <v>51.9</v>
      </c>
      <c r="E974">
        <v>155.69999999999999</v>
      </c>
      <c r="F974" s="1">
        <v>45696</v>
      </c>
      <c r="G974" s="1">
        <v>45698</v>
      </c>
      <c r="H974" t="s">
        <v>12</v>
      </c>
      <c r="I974" t="s">
        <v>20</v>
      </c>
      <c r="J974">
        <v>2</v>
      </c>
      <c r="K974" t="s">
        <v>4</v>
      </c>
      <c r="L974" t="s">
        <v>47</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1056</v>
      </c>
      <c r="B975" t="s">
        <v>11</v>
      </c>
      <c r="C975">
        <v>3</v>
      </c>
      <c r="D975">
        <v>50.3</v>
      </c>
      <c r="E975">
        <v>150.89999999999998</v>
      </c>
      <c r="F975" s="1">
        <v>45696</v>
      </c>
      <c r="G975" s="1">
        <v>45697</v>
      </c>
      <c r="H975" t="s">
        <v>8</v>
      </c>
      <c r="I975" t="s">
        <v>25</v>
      </c>
      <c r="J975">
        <v>4</v>
      </c>
      <c r="K975" t="s">
        <v>4</v>
      </c>
      <c r="L975" t="s">
        <v>88</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1057</v>
      </c>
      <c r="B976" t="s">
        <v>52</v>
      </c>
      <c r="C976">
        <v>6</v>
      </c>
      <c r="D976">
        <v>45</v>
      </c>
      <c r="E976">
        <v>270</v>
      </c>
      <c r="F976" s="1">
        <v>45696</v>
      </c>
      <c r="G976" s="1">
        <v>45702</v>
      </c>
      <c r="H976" t="s">
        <v>12</v>
      </c>
      <c r="I976" t="s">
        <v>36</v>
      </c>
      <c r="J976">
        <v>4</v>
      </c>
      <c r="K976" t="s">
        <v>4</v>
      </c>
      <c r="L976" t="s">
        <v>57</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1058</v>
      </c>
      <c r="B977" t="s">
        <v>39</v>
      </c>
      <c r="C977">
        <v>6</v>
      </c>
      <c r="D977">
        <v>44.7</v>
      </c>
      <c r="E977">
        <v>268.20000000000005</v>
      </c>
      <c r="F977" s="1">
        <v>45696</v>
      </c>
      <c r="G977" s="1">
        <v>45698</v>
      </c>
      <c r="H977" t="s">
        <v>12</v>
      </c>
      <c r="I977" t="s">
        <v>25</v>
      </c>
      <c r="J977">
        <v>4</v>
      </c>
      <c r="K977" t="s">
        <v>4</v>
      </c>
      <c r="L977" t="s">
        <v>62</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1059</v>
      </c>
      <c r="B978" t="s">
        <v>131</v>
      </c>
      <c r="C978">
        <v>15</v>
      </c>
      <c r="D978">
        <v>33</v>
      </c>
      <c r="E978">
        <v>495</v>
      </c>
      <c r="F978" s="1">
        <v>45696</v>
      </c>
      <c r="G978" s="1">
        <v>45697</v>
      </c>
      <c r="H978" t="s">
        <v>12</v>
      </c>
      <c r="I978" t="s">
        <v>25</v>
      </c>
      <c r="J978">
        <v>4</v>
      </c>
      <c r="K978" t="s">
        <v>4</v>
      </c>
      <c r="L978" t="s">
        <v>62</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1060</v>
      </c>
      <c r="B979" t="s">
        <v>7</v>
      </c>
      <c r="C979">
        <v>5</v>
      </c>
      <c r="D979">
        <v>44.9</v>
      </c>
      <c r="E979">
        <v>224.5</v>
      </c>
      <c r="F979" s="1">
        <v>45696</v>
      </c>
      <c r="G979" s="1">
        <v>45699</v>
      </c>
      <c r="H979" t="s">
        <v>12</v>
      </c>
      <c r="I979" t="s">
        <v>25</v>
      </c>
      <c r="J979">
        <v>5</v>
      </c>
      <c r="K979" t="s">
        <v>4</v>
      </c>
      <c r="L979" t="s">
        <v>93</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1061</v>
      </c>
      <c r="B980" t="s">
        <v>39</v>
      </c>
      <c r="C980">
        <v>2</v>
      </c>
      <c r="D980">
        <v>34.6</v>
      </c>
      <c r="E980">
        <v>69.2</v>
      </c>
      <c r="F980" s="1">
        <v>45696</v>
      </c>
      <c r="G980" s="1">
        <v>45700</v>
      </c>
      <c r="H980" t="s">
        <v>12</v>
      </c>
      <c r="I980" t="s">
        <v>3</v>
      </c>
      <c r="J980">
        <v>3</v>
      </c>
      <c r="K980" t="s">
        <v>4</v>
      </c>
      <c r="L980" t="s">
        <v>95</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1062</v>
      </c>
      <c r="B981" t="s">
        <v>27</v>
      </c>
      <c r="C981">
        <v>7</v>
      </c>
      <c r="D981">
        <v>47.1</v>
      </c>
      <c r="E981">
        <v>329.7</v>
      </c>
      <c r="F981" s="1">
        <v>45696</v>
      </c>
      <c r="G981" s="1">
        <v>45701</v>
      </c>
      <c r="H981" t="s">
        <v>12</v>
      </c>
      <c r="I981" t="s">
        <v>3</v>
      </c>
      <c r="J981">
        <v>4</v>
      </c>
      <c r="K981" t="s">
        <v>4</v>
      </c>
      <c r="L981" t="s">
        <v>67</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1063</v>
      </c>
      <c r="B982" t="s">
        <v>17</v>
      </c>
      <c r="C982">
        <v>5</v>
      </c>
      <c r="D982">
        <v>26.1</v>
      </c>
      <c r="E982">
        <v>130.5</v>
      </c>
      <c r="F982" s="1">
        <v>45696</v>
      </c>
      <c r="G982" s="1">
        <v>45701</v>
      </c>
      <c r="H982" t="s">
        <v>8</v>
      </c>
      <c r="I982" t="s">
        <v>3</v>
      </c>
      <c r="J982">
        <v>5</v>
      </c>
      <c r="K982" t="s">
        <v>4</v>
      </c>
      <c r="L982" t="s">
        <v>100</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1064</v>
      </c>
      <c r="B983" t="s">
        <v>54</v>
      </c>
      <c r="C983">
        <v>5</v>
      </c>
      <c r="D983">
        <v>66.8</v>
      </c>
      <c r="E983">
        <v>334</v>
      </c>
      <c r="F983" s="1">
        <v>45696</v>
      </c>
      <c r="G983" s="1">
        <v>45699</v>
      </c>
      <c r="H983" t="s">
        <v>12</v>
      </c>
      <c r="I983" t="s">
        <v>3</v>
      </c>
      <c r="J983">
        <v>4</v>
      </c>
      <c r="K983" t="s">
        <v>4</v>
      </c>
      <c r="L983" t="s">
        <v>100</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1065</v>
      </c>
      <c r="B984" t="s">
        <v>11</v>
      </c>
      <c r="C984">
        <v>2</v>
      </c>
      <c r="D984">
        <v>167.9</v>
      </c>
      <c r="E984">
        <v>335.8</v>
      </c>
      <c r="F984" s="1">
        <v>45696</v>
      </c>
      <c r="G984" s="1">
        <v>45697</v>
      </c>
      <c r="H984" t="s">
        <v>12</v>
      </c>
      <c r="I984" t="s">
        <v>36</v>
      </c>
      <c r="J984">
        <v>5</v>
      </c>
      <c r="K984" t="s">
        <v>4</v>
      </c>
      <c r="L984" t="s">
        <v>100</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1066</v>
      </c>
      <c r="B985" t="s">
        <v>39</v>
      </c>
      <c r="C985">
        <v>9</v>
      </c>
      <c r="D985">
        <v>34.6</v>
      </c>
      <c r="E985">
        <v>311.40000000000003</v>
      </c>
      <c r="F985" s="1">
        <v>45696</v>
      </c>
      <c r="G985" s="1">
        <v>45697</v>
      </c>
      <c r="H985" t="s">
        <v>12</v>
      </c>
      <c r="I985" t="s">
        <v>25</v>
      </c>
      <c r="J985">
        <v>3</v>
      </c>
      <c r="K985" t="s">
        <v>4</v>
      </c>
      <c r="L985" t="s">
        <v>100</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1067</v>
      </c>
      <c r="B986" t="s">
        <v>29</v>
      </c>
      <c r="C986">
        <v>3</v>
      </c>
      <c r="D986">
        <v>35.1</v>
      </c>
      <c r="E986">
        <v>105.30000000000001</v>
      </c>
      <c r="F986" s="1">
        <v>45697</v>
      </c>
      <c r="G986" s="1">
        <v>45701</v>
      </c>
      <c r="H986" t="s">
        <v>8</v>
      </c>
      <c r="I986" t="s">
        <v>55</v>
      </c>
      <c r="J986">
        <v>5</v>
      </c>
      <c r="K986" t="s">
        <v>4</v>
      </c>
      <c r="L986" t="s">
        <v>9</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1068</v>
      </c>
      <c r="B987" t="s">
        <v>24</v>
      </c>
      <c r="C987">
        <v>4</v>
      </c>
      <c r="D987">
        <v>104.5</v>
      </c>
      <c r="E987">
        <v>418</v>
      </c>
      <c r="F987" s="1">
        <v>45697</v>
      </c>
      <c r="G987" s="1">
        <v>45698</v>
      </c>
      <c r="H987" t="s">
        <v>8</v>
      </c>
      <c r="I987" t="s">
        <v>20</v>
      </c>
      <c r="J987">
        <v>3</v>
      </c>
      <c r="K987" t="s">
        <v>4</v>
      </c>
      <c r="L987" t="s">
        <v>9</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1069</v>
      </c>
      <c r="B988" t="s">
        <v>29</v>
      </c>
      <c r="C988">
        <v>1</v>
      </c>
      <c r="D988">
        <v>37.9</v>
      </c>
      <c r="E988">
        <v>37.9</v>
      </c>
      <c r="F988" s="1">
        <v>45697</v>
      </c>
      <c r="G988" s="1">
        <v>45699</v>
      </c>
      <c r="H988" t="s">
        <v>2</v>
      </c>
      <c r="I988" t="s">
        <v>20</v>
      </c>
      <c r="J988">
        <v>5</v>
      </c>
      <c r="K988" t="s">
        <v>4</v>
      </c>
      <c r="L988" t="s">
        <v>13</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1070</v>
      </c>
      <c r="B989" t="s">
        <v>17</v>
      </c>
      <c r="C989">
        <v>3</v>
      </c>
      <c r="D989">
        <v>25.5</v>
      </c>
      <c r="E989">
        <v>76.5</v>
      </c>
      <c r="F989" s="1">
        <v>45697</v>
      </c>
      <c r="G989" s="1">
        <v>45700</v>
      </c>
      <c r="H989" t="s">
        <v>8</v>
      </c>
      <c r="I989" t="s">
        <v>36</v>
      </c>
      <c r="J989">
        <v>4</v>
      </c>
      <c r="K989" t="s">
        <v>4</v>
      </c>
      <c r="L989" t="s">
        <v>13</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1071</v>
      </c>
      <c r="B990" t="s">
        <v>1</v>
      </c>
      <c r="C990">
        <v>3</v>
      </c>
      <c r="D990">
        <v>32</v>
      </c>
      <c r="E990">
        <v>96</v>
      </c>
      <c r="F990" s="1">
        <v>45697</v>
      </c>
      <c r="G990" s="1">
        <v>45701</v>
      </c>
      <c r="H990" t="s">
        <v>12</v>
      </c>
      <c r="I990" t="s">
        <v>20</v>
      </c>
      <c r="J990">
        <v>4</v>
      </c>
      <c r="K990" t="s">
        <v>4</v>
      </c>
      <c r="L990" t="s">
        <v>132</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1072</v>
      </c>
      <c r="B991" t="s">
        <v>7</v>
      </c>
      <c r="C991">
        <v>1</v>
      </c>
      <c r="D991">
        <v>47.1</v>
      </c>
      <c r="E991">
        <v>47.1</v>
      </c>
      <c r="F991" s="1">
        <v>45697</v>
      </c>
      <c r="G991" s="1">
        <v>45698</v>
      </c>
      <c r="H991" t="s">
        <v>12</v>
      </c>
      <c r="I991" t="s">
        <v>3</v>
      </c>
      <c r="J991">
        <v>4</v>
      </c>
      <c r="K991" t="s">
        <v>4</v>
      </c>
      <c r="L991" t="s">
        <v>319</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1073</v>
      </c>
      <c r="B992" t="s">
        <v>24</v>
      </c>
      <c r="C992">
        <v>2</v>
      </c>
      <c r="D992">
        <v>50.6</v>
      </c>
      <c r="E992">
        <v>101.2</v>
      </c>
      <c r="F992" s="1">
        <v>45697</v>
      </c>
      <c r="G992" s="1">
        <v>45703</v>
      </c>
      <c r="H992" t="s">
        <v>2</v>
      </c>
      <c r="I992" t="s">
        <v>3</v>
      </c>
      <c r="J992">
        <v>4</v>
      </c>
      <c r="K992" t="s">
        <v>4</v>
      </c>
      <c r="L992" t="s">
        <v>18</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1074</v>
      </c>
      <c r="B993" t="s">
        <v>24</v>
      </c>
      <c r="C993">
        <v>5</v>
      </c>
      <c r="D993">
        <v>81.7</v>
      </c>
      <c r="E993">
        <v>408.5</v>
      </c>
      <c r="F993" s="1">
        <v>45697</v>
      </c>
      <c r="G993" s="1">
        <v>45698</v>
      </c>
      <c r="H993" t="s">
        <v>12</v>
      </c>
      <c r="I993" t="s">
        <v>20</v>
      </c>
      <c r="J993">
        <v>5</v>
      </c>
      <c r="K993" t="s">
        <v>4</v>
      </c>
      <c r="L993" t="s">
        <v>18</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1075</v>
      </c>
      <c r="B994" t="s">
        <v>22</v>
      </c>
      <c r="C994">
        <v>2</v>
      </c>
      <c r="D994">
        <v>50.7</v>
      </c>
      <c r="E994">
        <v>101.4</v>
      </c>
      <c r="F994" s="1">
        <v>45697</v>
      </c>
      <c r="G994" s="1">
        <v>45698</v>
      </c>
      <c r="H994" t="s">
        <v>74</v>
      </c>
      <c r="I994" t="s">
        <v>25</v>
      </c>
      <c r="J994">
        <v>5</v>
      </c>
      <c r="K994" t="s">
        <v>4</v>
      </c>
      <c r="L994" t="s">
        <v>18</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1076</v>
      </c>
      <c r="B995" t="s">
        <v>11</v>
      </c>
      <c r="C995">
        <v>19</v>
      </c>
      <c r="D995">
        <v>67.3</v>
      </c>
      <c r="E995">
        <v>1278.7</v>
      </c>
      <c r="F995" s="1">
        <v>45697</v>
      </c>
      <c r="G995" s="1">
        <v>45701</v>
      </c>
      <c r="H995" t="s">
        <v>12</v>
      </c>
      <c r="I995" t="s">
        <v>25</v>
      </c>
      <c r="J995">
        <v>4</v>
      </c>
      <c r="K995" t="s">
        <v>4</v>
      </c>
      <c r="L995" t="s">
        <v>18</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1077</v>
      </c>
      <c r="B996" t="s">
        <v>11</v>
      </c>
      <c r="C996">
        <v>4</v>
      </c>
      <c r="D996">
        <v>64.8</v>
      </c>
      <c r="E996">
        <v>259.2</v>
      </c>
      <c r="F996" s="1">
        <v>45697</v>
      </c>
      <c r="G996" s="1">
        <v>45700</v>
      </c>
      <c r="H996" t="s">
        <v>12</v>
      </c>
      <c r="I996" t="s">
        <v>36</v>
      </c>
      <c r="J996">
        <v>4</v>
      </c>
      <c r="K996" t="s">
        <v>4</v>
      </c>
      <c r="L996" t="s">
        <v>18</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1078</v>
      </c>
      <c r="B997" t="s">
        <v>22</v>
      </c>
      <c r="C997">
        <v>22</v>
      </c>
      <c r="D997">
        <v>61.3</v>
      </c>
      <c r="E997">
        <v>1348.6</v>
      </c>
      <c r="F997" s="1">
        <v>45697</v>
      </c>
      <c r="G997" s="1">
        <v>45698</v>
      </c>
      <c r="H997" t="s">
        <v>12</v>
      </c>
      <c r="I997" t="s">
        <v>3</v>
      </c>
      <c r="J997">
        <v>5</v>
      </c>
      <c r="K997" t="s">
        <v>4</v>
      </c>
      <c r="L997" t="s">
        <v>18</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1079</v>
      </c>
      <c r="B998" t="s">
        <v>66</v>
      </c>
      <c r="C998">
        <v>1</v>
      </c>
      <c r="D998">
        <v>32.9</v>
      </c>
      <c r="E998">
        <v>32.9</v>
      </c>
      <c r="F998" s="1">
        <v>45697</v>
      </c>
      <c r="G998" s="1">
        <v>45700</v>
      </c>
      <c r="H998" t="s">
        <v>12</v>
      </c>
      <c r="I998" t="s">
        <v>55</v>
      </c>
      <c r="J998">
        <v>4</v>
      </c>
      <c r="K998" t="s">
        <v>4</v>
      </c>
      <c r="L998" t="s">
        <v>18</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1080</v>
      </c>
      <c r="B999" t="s">
        <v>24</v>
      </c>
      <c r="C999">
        <v>2</v>
      </c>
      <c r="D999">
        <v>100.8</v>
      </c>
      <c r="E999">
        <v>201.6</v>
      </c>
      <c r="F999" s="1">
        <v>45697</v>
      </c>
      <c r="G999" s="1">
        <v>45700</v>
      </c>
      <c r="H999" t="s">
        <v>12</v>
      </c>
      <c r="I999" t="s">
        <v>3</v>
      </c>
      <c r="J999">
        <v>4</v>
      </c>
      <c r="K999" t="s">
        <v>4</v>
      </c>
      <c r="L999" t="s">
        <v>18</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1081</v>
      </c>
      <c r="B1000" t="s">
        <v>29</v>
      </c>
      <c r="C1000">
        <v>4</v>
      </c>
      <c r="D1000">
        <v>25.1</v>
      </c>
      <c r="E1000">
        <v>100.4</v>
      </c>
      <c r="F1000" s="1">
        <v>45697</v>
      </c>
      <c r="G1000" s="1">
        <v>45699</v>
      </c>
      <c r="H1000" t="s">
        <v>12</v>
      </c>
      <c r="I1000" t="s">
        <v>20</v>
      </c>
      <c r="J1000">
        <v>4</v>
      </c>
      <c r="K1000" t="s">
        <v>4</v>
      </c>
      <c r="L1000" t="s">
        <v>18</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1082</v>
      </c>
      <c r="B1001" t="s">
        <v>120</v>
      </c>
      <c r="C1001">
        <v>1</v>
      </c>
      <c r="D1001">
        <v>48.5</v>
      </c>
      <c r="E1001">
        <v>48.5</v>
      </c>
      <c r="F1001" s="1">
        <v>45697</v>
      </c>
      <c r="G1001" s="1">
        <v>45698</v>
      </c>
      <c r="H1001" t="s">
        <v>12</v>
      </c>
      <c r="I1001" t="s">
        <v>3</v>
      </c>
      <c r="J1001">
        <v>3</v>
      </c>
      <c r="K1001" t="s">
        <v>4</v>
      </c>
      <c r="L1001" t="s">
        <v>18</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1083</v>
      </c>
      <c r="B1002" t="s">
        <v>27</v>
      </c>
      <c r="C1002">
        <v>2</v>
      </c>
      <c r="D1002">
        <v>33.6</v>
      </c>
      <c r="E1002">
        <v>67.2</v>
      </c>
      <c r="F1002" s="1">
        <v>45697</v>
      </c>
      <c r="G1002" s="1">
        <v>45701</v>
      </c>
      <c r="H1002" t="s">
        <v>12</v>
      </c>
      <c r="I1002" t="s">
        <v>25</v>
      </c>
      <c r="J1002">
        <v>5</v>
      </c>
      <c r="K1002" t="s">
        <v>4</v>
      </c>
      <c r="L1002" t="s">
        <v>18</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1084</v>
      </c>
      <c r="B1003" t="s">
        <v>29</v>
      </c>
      <c r="C1003">
        <v>1</v>
      </c>
      <c r="D1003">
        <v>39.299999999999997</v>
      </c>
      <c r="E1003">
        <v>39.299999999999997</v>
      </c>
      <c r="F1003" s="1">
        <v>45697</v>
      </c>
      <c r="G1003" s="1">
        <v>45708</v>
      </c>
      <c r="H1003" t="s">
        <v>12</v>
      </c>
      <c r="I1003" t="s">
        <v>20</v>
      </c>
      <c r="J1003">
        <v>3</v>
      </c>
      <c r="K1003" t="s">
        <v>4</v>
      </c>
      <c r="L1003" t="s">
        <v>787</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1085</v>
      </c>
      <c r="B1004" t="s">
        <v>17</v>
      </c>
      <c r="C1004">
        <v>10</v>
      </c>
      <c r="D1004">
        <v>48.8</v>
      </c>
      <c r="E1004">
        <v>488</v>
      </c>
      <c r="F1004" s="1">
        <v>45697</v>
      </c>
      <c r="G1004" s="1">
        <v>45699</v>
      </c>
      <c r="H1004" t="s">
        <v>12</v>
      </c>
      <c r="I1004" t="s">
        <v>36</v>
      </c>
      <c r="J1004">
        <v>3</v>
      </c>
      <c r="K1004" t="s">
        <v>4</v>
      </c>
      <c r="L1004" t="s">
        <v>173</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1086</v>
      </c>
      <c r="B1005" t="s">
        <v>24</v>
      </c>
      <c r="C1005">
        <v>8</v>
      </c>
      <c r="D1005">
        <v>72.8</v>
      </c>
      <c r="E1005">
        <v>582.4</v>
      </c>
      <c r="F1005" s="1">
        <v>45697</v>
      </c>
      <c r="G1005" s="1">
        <v>45699</v>
      </c>
      <c r="H1005" t="s">
        <v>8</v>
      </c>
      <c r="I1005" t="s">
        <v>20</v>
      </c>
      <c r="J1005">
        <v>5</v>
      </c>
      <c r="K1005" t="s">
        <v>4</v>
      </c>
      <c r="L1005" t="s">
        <v>37</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1087</v>
      </c>
      <c r="B1006" t="s">
        <v>39</v>
      </c>
      <c r="C1006">
        <v>8</v>
      </c>
      <c r="D1006">
        <v>46.2</v>
      </c>
      <c r="E1006">
        <v>369.6</v>
      </c>
      <c r="F1006" s="1">
        <v>45697</v>
      </c>
      <c r="G1006" s="1">
        <v>45698</v>
      </c>
      <c r="H1006" t="s">
        <v>8</v>
      </c>
      <c r="I1006" t="s">
        <v>36</v>
      </c>
      <c r="J1006">
        <v>2</v>
      </c>
      <c r="K1006" t="s">
        <v>4</v>
      </c>
      <c r="L1006" t="s">
        <v>37</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1088</v>
      </c>
      <c r="B1007" t="s">
        <v>17</v>
      </c>
      <c r="C1007">
        <v>2</v>
      </c>
      <c r="D1007">
        <v>20.7</v>
      </c>
      <c r="E1007">
        <v>41.4</v>
      </c>
      <c r="F1007" s="1">
        <v>45697</v>
      </c>
      <c r="G1007" s="1">
        <v>45698</v>
      </c>
      <c r="H1007" t="s">
        <v>12</v>
      </c>
      <c r="I1007" t="s">
        <v>25</v>
      </c>
      <c r="J1007">
        <v>1</v>
      </c>
      <c r="K1007" t="s">
        <v>4</v>
      </c>
      <c r="L1007" t="s">
        <v>40</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1089</v>
      </c>
      <c r="B1008" t="s">
        <v>1</v>
      </c>
      <c r="C1008">
        <v>1</v>
      </c>
      <c r="D1008">
        <v>35.700000000000003</v>
      </c>
      <c r="E1008">
        <v>35.700000000000003</v>
      </c>
      <c r="F1008" s="1">
        <v>45697</v>
      </c>
      <c r="G1008" s="1">
        <v>45699</v>
      </c>
      <c r="H1008" t="s">
        <v>12</v>
      </c>
      <c r="I1008" t="s">
        <v>36</v>
      </c>
      <c r="J1008">
        <v>4</v>
      </c>
      <c r="K1008" t="s">
        <v>4</v>
      </c>
      <c r="L1008" t="s">
        <v>40</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1090</v>
      </c>
      <c r="B1009" t="s">
        <v>11</v>
      </c>
      <c r="C1009">
        <v>16</v>
      </c>
      <c r="D1009">
        <v>166.2</v>
      </c>
      <c r="E1009">
        <v>2659.2</v>
      </c>
      <c r="F1009" s="1">
        <v>45697</v>
      </c>
      <c r="G1009" s="1">
        <v>45699</v>
      </c>
      <c r="H1009" t="s">
        <v>2</v>
      </c>
      <c r="I1009" t="s">
        <v>25</v>
      </c>
      <c r="J1009">
        <v>4</v>
      </c>
      <c r="K1009" t="s">
        <v>4</v>
      </c>
      <c r="L1009" t="s">
        <v>44</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1091</v>
      </c>
      <c r="B1010" t="s">
        <v>24</v>
      </c>
      <c r="C1010">
        <v>4</v>
      </c>
      <c r="D1010">
        <v>85.8</v>
      </c>
      <c r="E1010">
        <v>343.2</v>
      </c>
      <c r="F1010" s="1">
        <v>45697</v>
      </c>
      <c r="G1010" s="1">
        <v>45698</v>
      </c>
      <c r="H1010" t="s">
        <v>12</v>
      </c>
      <c r="I1010" t="s">
        <v>20</v>
      </c>
      <c r="J1010">
        <v>3</v>
      </c>
      <c r="K1010" t="s">
        <v>4</v>
      </c>
      <c r="L1010" t="s">
        <v>44</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1092</v>
      </c>
      <c r="B1011" t="s">
        <v>29</v>
      </c>
      <c r="C1011">
        <v>3</v>
      </c>
      <c r="D1011">
        <v>26</v>
      </c>
      <c r="E1011">
        <v>78</v>
      </c>
      <c r="F1011" s="1">
        <v>45697</v>
      </c>
      <c r="G1011" s="1">
        <v>45699</v>
      </c>
      <c r="H1011" t="s">
        <v>74</v>
      </c>
      <c r="I1011" t="s">
        <v>20</v>
      </c>
      <c r="J1011">
        <v>4</v>
      </c>
      <c r="K1011" t="s">
        <v>4</v>
      </c>
      <c r="L1011" t="s">
        <v>44</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1093</v>
      </c>
      <c r="B1012" t="s">
        <v>11</v>
      </c>
      <c r="C1012">
        <v>13</v>
      </c>
      <c r="D1012">
        <v>116.6</v>
      </c>
      <c r="E1012">
        <v>1515.8</v>
      </c>
      <c r="F1012" s="1">
        <v>45697</v>
      </c>
      <c r="G1012" s="1">
        <v>45700</v>
      </c>
      <c r="H1012" t="s">
        <v>12</v>
      </c>
      <c r="I1012" t="s">
        <v>3</v>
      </c>
      <c r="J1012">
        <v>4</v>
      </c>
      <c r="K1012" t="s">
        <v>4</v>
      </c>
      <c r="L1012" t="s">
        <v>47</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1094</v>
      </c>
      <c r="B1013" t="s">
        <v>31</v>
      </c>
      <c r="C1013">
        <v>7</v>
      </c>
      <c r="D1013">
        <v>53.9</v>
      </c>
      <c r="E1013">
        <v>377.3</v>
      </c>
      <c r="F1013" s="1">
        <v>45697</v>
      </c>
      <c r="G1013" s="1">
        <v>45700</v>
      </c>
      <c r="H1013" t="s">
        <v>74</v>
      </c>
      <c r="I1013" t="s">
        <v>3</v>
      </c>
      <c r="J1013">
        <v>5</v>
      </c>
      <c r="K1013" t="s">
        <v>4</v>
      </c>
      <c r="L1013" t="s">
        <v>47</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1095</v>
      </c>
      <c r="B1014" t="s">
        <v>54</v>
      </c>
      <c r="C1014">
        <v>5</v>
      </c>
      <c r="D1014">
        <v>72.3</v>
      </c>
      <c r="E1014">
        <v>361.5</v>
      </c>
      <c r="F1014" s="1">
        <v>45697</v>
      </c>
      <c r="G1014" s="1">
        <v>45699</v>
      </c>
      <c r="H1014" t="s">
        <v>2</v>
      </c>
      <c r="I1014" t="s">
        <v>25</v>
      </c>
      <c r="J1014">
        <v>5</v>
      </c>
      <c r="K1014" t="s">
        <v>4</v>
      </c>
      <c r="L1014" t="s">
        <v>47</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1096</v>
      </c>
      <c r="B1015" t="s">
        <v>22</v>
      </c>
      <c r="C1015">
        <v>2</v>
      </c>
      <c r="D1015">
        <v>31.4</v>
      </c>
      <c r="E1015">
        <v>62.8</v>
      </c>
      <c r="F1015" s="1">
        <v>45697</v>
      </c>
      <c r="G1015" s="1">
        <v>45699</v>
      </c>
      <c r="H1015" t="s">
        <v>12</v>
      </c>
      <c r="I1015" t="s">
        <v>3</v>
      </c>
      <c r="J1015">
        <v>4</v>
      </c>
      <c r="K1015" t="s">
        <v>4</v>
      </c>
      <c r="L1015" t="s">
        <v>47</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1097</v>
      </c>
      <c r="B1016" t="s">
        <v>61</v>
      </c>
      <c r="C1016">
        <v>2</v>
      </c>
      <c r="D1016">
        <v>53.1</v>
      </c>
      <c r="E1016">
        <v>106.2</v>
      </c>
      <c r="F1016" s="1">
        <v>45697</v>
      </c>
      <c r="G1016" s="1">
        <v>45700</v>
      </c>
      <c r="H1016" t="s">
        <v>8</v>
      </c>
      <c r="I1016" t="s">
        <v>20</v>
      </c>
      <c r="J1016">
        <v>4</v>
      </c>
      <c r="K1016" t="s">
        <v>4</v>
      </c>
      <c r="L1016" t="s">
        <v>47</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1098</v>
      </c>
      <c r="B1017" t="s">
        <v>11</v>
      </c>
      <c r="C1017">
        <v>4</v>
      </c>
      <c r="D1017">
        <v>56.2</v>
      </c>
      <c r="E1017">
        <v>224.8</v>
      </c>
      <c r="F1017" s="1">
        <v>45697</v>
      </c>
      <c r="G1017" s="1">
        <v>45698</v>
      </c>
      <c r="H1017" t="s">
        <v>12</v>
      </c>
      <c r="I1017" t="s">
        <v>3</v>
      </c>
      <c r="J1017">
        <v>4</v>
      </c>
      <c r="K1017" t="s">
        <v>4</v>
      </c>
      <c r="L1017" t="s">
        <v>47</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1099</v>
      </c>
      <c r="B1018" t="s">
        <v>7</v>
      </c>
      <c r="C1018">
        <v>10</v>
      </c>
      <c r="D1018">
        <v>77.3</v>
      </c>
      <c r="E1018">
        <v>773</v>
      </c>
      <c r="F1018" s="1">
        <v>45697</v>
      </c>
      <c r="G1018" s="1">
        <v>45698</v>
      </c>
      <c r="H1018" t="s">
        <v>12</v>
      </c>
      <c r="I1018" t="s">
        <v>25</v>
      </c>
      <c r="J1018">
        <v>4</v>
      </c>
      <c r="K1018" t="s">
        <v>4</v>
      </c>
      <c r="L1018" t="s">
        <v>62</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1100</v>
      </c>
      <c r="B1019" t="s">
        <v>24</v>
      </c>
      <c r="C1019">
        <v>13</v>
      </c>
      <c r="D1019">
        <v>57.8</v>
      </c>
      <c r="E1019">
        <v>751.4</v>
      </c>
      <c r="F1019" s="1">
        <v>45697</v>
      </c>
      <c r="G1019" s="1">
        <v>45698</v>
      </c>
      <c r="H1019" t="s">
        <v>2</v>
      </c>
      <c r="I1019" t="s">
        <v>3</v>
      </c>
      <c r="J1019">
        <v>4</v>
      </c>
      <c r="K1019" t="s">
        <v>4</v>
      </c>
      <c r="L1019" t="s">
        <v>1101</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1102</v>
      </c>
      <c r="B1020" t="s">
        <v>54</v>
      </c>
      <c r="C1020">
        <v>15</v>
      </c>
      <c r="D1020">
        <v>42.1</v>
      </c>
      <c r="E1020">
        <v>631.5</v>
      </c>
      <c r="F1020" s="1">
        <v>45697</v>
      </c>
      <c r="G1020" s="1">
        <v>45699</v>
      </c>
      <c r="H1020" t="s">
        <v>12</v>
      </c>
      <c r="I1020" t="s">
        <v>20</v>
      </c>
      <c r="J1020">
        <v>3</v>
      </c>
      <c r="K1020" t="s">
        <v>4</v>
      </c>
      <c r="L1020" t="s">
        <v>1101</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1103</v>
      </c>
      <c r="B1021" t="s">
        <v>29</v>
      </c>
      <c r="C1021">
        <v>9</v>
      </c>
      <c r="D1021">
        <v>22.8</v>
      </c>
      <c r="E1021">
        <v>205.20000000000002</v>
      </c>
      <c r="F1021" s="1">
        <v>45697</v>
      </c>
      <c r="G1021" s="1">
        <v>45701</v>
      </c>
      <c r="H1021" t="s">
        <v>8</v>
      </c>
      <c r="I1021" t="s">
        <v>25</v>
      </c>
      <c r="J1021">
        <v>5</v>
      </c>
      <c r="K1021" t="s">
        <v>4</v>
      </c>
      <c r="L1021" t="s">
        <v>95</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1104</v>
      </c>
      <c r="B1022" t="s">
        <v>11</v>
      </c>
      <c r="C1022">
        <v>3</v>
      </c>
      <c r="D1022">
        <v>171.1</v>
      </c>
      <c r="E1022">
        <v>513.29999999999995</v>
      </c>
      <c r="F1022" s="1">
        <v>45698</v>
      </c>
      <c r="G1022" s="1">
        <v>45705</v>
      </c>
      <c r="H1022" t="s">
        <v>12</v>
      </c>
      <c r="I1022" t="s">
        <v>25</v>
      </c>
      <c r="J1022">
        <v>3</v>
      </c>
      <c r="K1022" t="s">
        <v>4</v>
      </c>
      <c r="L1022" t="s">
        <v>95</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1105</v>
      </c>
      <c r="B1023" t="s">
        <v>29</v>
      </c>
      <c r="C1023">
        <v>1</v>
      </c>
      <c r="D1023">
        <v>28</v>
      </c>
      <c r="E1023">
        <v>28</v>
      </c>
      <c r="F1023" s="1">
        <v>45698</v>
      </c>
      <c r="G1023" s="1">
        <v>45700</v>
      </c>
      <c r="H1023" t="s">
        <v>8</v>
      </c>
      <c r="I1023" t="s">
        <v>25</v>
      </c>
      <c r="J1023">
        <v>5</v>
      </c>
      <c r="K1023" t="s">
        <v>4</v>
      </c>
      <c r="L1023" t="s">
        <v>100</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1106</v>
      </c>
      <c r="B1024" t="s">
        <v>24</v>
      </c>
      <c r="C1024">
        <v>7</v>
      </c>
      <c r="D1024">
        <v>50.2</v>
      </c>
      <c r="E1024">
        <v>351.40000000000003</v>
      </c>
      <c r="F1024" s="1">
        <v>45698</v>
      </c>
      <c r="G1024" s="1">
        <v>45700</v>
      </c>
      <c r="H1024" t="s">
        <v>8</v>
      </c>
      <c r="I1024" t="s">
        <v>25</v>
      </c>
      <c r="J1024">
        <v>4</v>
      </c>
      <c r="K1024" t="s">
        <v>4</v>
      </c>
      <c r="L1024" t="s">
        <v>100</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1107</v>
      </c>
      <c r="B1025" t="s">
        <v>24</v>
      </c>
      <c r="C1025">
        <v>2</v>
      </c>
      <c r="D1025">
        <v>56</v>
      </c>
      <c r="E1025">
        <v>112</v>
      </c>
      <c r="F1025" s="1">
        <v>45698</v>
      </c>
      <c r="G1025" s="1">
        <v>45698</v>
      </c>
      <c r="H1025" t="s">
        <v>8</v>
      </c>
      <c r="I1025" t="s">
        <v>3</v>
      </c>
      <c r="J1025">
        <v>5</v>
      </c>
      <c r="K1025" t="s">
        <v>4</v>
      </c>
      <c r="L1025" t="s">
        <v>132</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1108</v>
      </c>
      <c r="B1026" t="s">
        <v>7</v>
      </c>
      <c r="C1026">
        <v>2</v>
      </c>
      <c r="D1026">
        <v>38.299999999999997</v>
      </c>
      <c r="E1026">
        <v>76.599999999999994</v>
      </c>
      <c r="F1026" s="1">
        <v>45698</v>
      </c>
      <c r="G1026" s="1">
        <v>45699</v>
      </c>
      <c r="H1026" t="s">
        <v>12</v>
      </c>
      <c r="I1026" t="s">
        <v>20</v>
      </c>
      <c r="J1026">
        <v>4</v>
      </c>
      <c r="K1026" t="s">
        <v>4</v>
      </c>
      <c r="L1026" t="s">
        <v>18</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1109</v>
      </c>
      <c r="B1027" t="s">
        <v>1</v>
      </c>
      <c r="C1027">
        <v>5</v>
      </c>
      <c r="D1027">
        <v>22.3</v>
      </c>
      <c r="E1027">
        <v>111.5</v>
      </c>
      <c r="F1027" s="1">
        <v>45698</v>
      </c>
      <c r="G1027" s="1">
        <v>45702</v>
      </c>
      <c r="H1027" t="s">
        <v>12</v>
      </c>
      <c r="I1027" t="s">
        <v>25</v>
      </c>
      <c r="J1027">
        <v>3</v>
      </c>
      <c r="K1027" t="s">
        <v>4</v>
      </c>
      <c r="L1027" t="s">
        <v>18</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1110</v>
      </c>
      <c r="B1028" t="s">
        <v>1</v>
      </c>
      <c r="C1028">
        <v>3</v>
      </c>
      <c r="D1028">
        <v>22.3</v>
      </c>
      <c r="E1028">
        <v>66.900000000000006</v>
      </c>
      <c r="F1028" s="1">
        <v>45698</v>
      </c>
      <c r="G1028" s="1">
        <v>45701</v>
      </c>
      <c r="H1028" t="s">
        <v>12</v>
      </c>
      <c r="I1028" t="s">
        <v>25</v>
      </c>
      <c r="J1028">
        <v>4</v>
      </c>
      <c r="K1028" t="s">
        <v>4</v>
      </c>
      <c r="L1028" t="s">
        <v>18</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1111</v>
      </c>
      <c r="B1029" t="s">
        <v>7</v>
      </c>
      <c r="C1029">
        <v>1</v>
      </c>
      <c r="D1029">
        <v>32.9</v>
      </c>
      <c r="E1029">
        <v>32.9</v>
      </c>
      <c r="F1029" s="1">
        <v>45698</v>
      </c>
      <c r="G1029" s="1">
        <v>45703</v>
      </c>
      <c r="H1029" t="s">
        <v>12</v>
      </c>
      <c r="I1029" t="s">
        <v>3</v>
      </c>
      <c r="J1029">
        <v>4</v>
      </c>
      <c r="K1029" t="s">
        <v>4</v>
      </c>
      <c r="L1029" t="s">
        <v>18</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1112</v>
      </c>
      <c r="B1030" t="s">
        <v>39</v>
      </c>
      <c r="C1030">
        <v>3</v>
      </c>
      <c r="D1030">
        <v>31.9</v>
      </c>
      <c r="E1030">
        <v>95.699999999999989</v>
      </c>
      <c r="F1030" s="1">
        <v>45698</v>
      </c>
      <c r="G1030" s="1">
        <v>45703</v>
      </c>
      <c r="H1030" t="s">
        <v>12</v>
      </c>
      <c r="I1030" t="s">
        <v>3</v>
      </c>
      <c r="J1030">
        <v>4</v>
      </c>
      <c r="K1030" t="s">
        <v>4</v>
      </c>
      <c r="L1030" t="s">
        <v>18</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1113</v>
      </c>
      <c r="B1031" t="s">
        <v>24</v>
      </c>
      <c r="C1031">
        <v>2</v>
      </c>
      <c r="D1031">
        <v>94</v>
      </c>
      <c r="E1031">
        <v>188</v>
      </c>
      <c r="F1031" s="1">
        <v>45698</v>
      </c>
      <c r="G1031" s="1">
        <v>45699</v>
      </c>
      <c r="H1031" t="s">
        <v>8</v>
      </c>
      <c r="I1031" t="s">
        <v>25</v>
      </c>
      <c r="J1031">
        <v>5</v>
      </c>
      <c r="K1031" t="s">
        <v>4</v>
      </c>
      <c r="L1031" t="s">
        <v>18</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1114</v>
      </c>
      <c r="B1032" t="s">
        <v>39</v>
      </c>
      <c r="C1032">
        <v>2</v>
      </c>
      <c r="D1032">
        <v>30.7</v>
      </c>
      <c r="E1032">
        <v>61.4</v>
      </c>
      <c r="F1032" s="1">
        <v>45698</v>
      </c>
      <c r="G1032" s="1">
        <v>45699</v>
      </c>
      <c r="H1032" t="s">
        <v>12</v>
      </c>
      <c r="I1032" t="s">
        <v>3</v>
      </c>
      <c r="J1032">
        <v>3</v>
      </c>
      <c r="K1032" t="s">
        <v>4</v>
      </c>
      <c r="L1032" t="s">
        <v>18</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1115</v>
      </c>
      <c r="B1033" t="s">
        <v>22</v>
      </c>
      <c r="C1033">
        <v>5</v>
      </c>
      <c r="D1033">
        <v>90.5</v>
      </c>
      <c r="E1033">
        <v>452.5</v>
      </c>
      <c r="F1033" s="1">
        <v>45698</v>
      </c>
      <c r="G1033" s="1">
        <v>45705</v>
      </c>
      <c r="H1033" t="s">
        <v>8</v>
      </c>
      <c r="I1033" t="s">
        <v>3</v>
      </c>
      <c r="J1033">
        <v>5</v>
      </c>
      <c r="K1033" t="s">
        <v>4</v>
      </c>
      <c r="L1033" t="s">
        <v>18</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1116</v>
      </c>
      <c r="B1034" t="s">
        <v>29</v>
      </c>
      <c r="C1034">
        <v>5</v>
      </c>
      <c r="D1034">
        <v>25.3</v>
      </c>
      <c r="E1034">
        <v>126.5</v>
      </c>
      <c r="F1034" s="1">
        <v>45698</v>
      </c>
      <c r="G1034" s="1">
        <v>45702</v>
      </c>
      <c r="H1034" t="s">
        <v>12</v>
      </c>
      <c r="I1034" t="s">
        <v>3</v>
      </c>
      <c r="J1034">
        <v>5</v>
      </c>
      <c r="K1034" t="s">
        <v>4</v>
      </c>
      <c r="L1034" t="s">
        <v>18</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1117</v>
      </c>
      <c r="B1035" t="s">
        <v>24</v>
      </c>
      <c r="C1035">
        <v>3</v>
      </c>
      <c r="D1035">
        <v>58.1</v>
      </c>
      <c r="E1035">
        <v>174.3</v>
      </c>
      <c r="F1035" s="1">
        <v>45698</v>
      </c>
      <c r="G1035" s="1">
        <v>45702</v>
      </c>
      <c r="H1035" t="s">
        <v>2</v>
      </c>
      <c r="I1035" t="s">
        <v>3</v>
      </c>
      <c r="J1035">
        <v>5</v>
      </c>
      <c r="K1035" t="s">
        <v>4</v>
      </c>
      <c r="L1035" t="s">
        <v>18</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1118</v>
      </c>
      <c r="B1036" t="s">
        <v>11</v>
      </c>
      <c r="C1036">
        <v>3</v>
      </c>
      <c r="D1036">
        <v>74.900000000000006</v>
      </c>
      <c r="E1036">
        <v>224.70000000000002</v>
      </c>
      <c r="F1036" s="1">
        <v>45698</v>
      </c>
      <c r="G1036" s="1">
        <v>45699</v>
      </c>
      <c r="H1036" t="s">
        <v>12</v>
      </c>
      <c r="I1036" t="s">
        <v>55</v>
      </c>
      <c r="J1036">
        <v>4</v>
      </c>
      <c r="K1036" t="s">
        <v>4</v>
      </c>
      <c r="L1036" t="s">
        <v>18</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1119</v>
      </c>
      <c r="B1037" t="s">
        <v>17</v>
      </c>
      <c r="C1037">
        <v>2</v>
      </c>
      <c r="D1037">
        <v>32.5</v>
      </c>
      <c r="E1037">
        <v>65</v>
      </c>
      <c r="F1037" s="1">
        <v>45698</v>
      </c>
      <c r="G1037" s="1">
        <v>45699</v>
      </c>
      <c r="H1037" t="s">
        <v>8</v>
      </c>
      <c r="I1037" t="s">
        <v>25</v>
      </c>
      <c r="J1037">
        <v>5</v>
      </c>
      <c r="K1037" t="s">
        <v>4</v>
      </c>
      <c r="L1037" t="s">
        <v>530</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1120</v>
      </c>
      <c r="B1038" t="s">
        <v>17</v>
      </c>
      <c r="C1038">
        <v>5</v>
      </c>
      <c r="D1038">
        <v>62</v>
      </c>
      <c r="E1038">
        <v>310</v>
      </c>
      <c r="F1038" s="1">
        <v>45698</v>
      </c>
      <c r="G1038" s="1">
        <v>45699</v>
      </c>
      <c r="H1038" t="s">
        <v>8</v>
      </c>
      <c r="I1038" t="s">
        <v>55</v>
      </c>
      <c r="J1038">
        <v>5</v>
      </c>
      <c r="K1038" t="s">
        <v>4</v>
      </c>
      <c r="L1038" t="s">
        <v>173</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1121</v>
      </c>
      <c r="B1039" t="s">
        <v>61</v>
      </c>
      <c r="C1039">
        <v>6</v>
      </c>
      <c r="D1039">
        <v>28.9</v>
      </c>
      <c r="E1039">
        <v>173.39999999999998</v>
      </c>
      <c r="F1039" s="1">
        <v>45698</v>
      </c>
      <c r="G1039" s="1">
        <v>45701</v>
      </c>
      <c r="H1039" t="s">
        <v>12</v>
      </c>
      <c r="I1039" t="s">
        <v>3</v>
      </c>
      <c r="J1039">
        <v>3</v>
      </c>
      <c r="K1039" t="s">
        <v>4</v>
      </c>
      <c r="L1039" t="s">
        <v>40</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1122</v>
      </c>
      <c r="B1040" t="s">
        <v>24</v>
      </c>
      <c r="C1040">
        <v>8</v>
      </c>
      <c r="D1040">
        <v>42.8</v>
      </c>
      <c r="E1040">
        <v>342.4</v>
      </c>
      <c r="F1040" s="1">
        <v>45698</v>
      </c>
      <c r="G1040" s="1">
        <v>45700</v>
      </c>
      <c r="H1040" t="s">
        <v>12</v>
      </c>
      <c r="I1040" t="s">
        <v>3</v>
      </c>
      <c r="J1040">
        <v>5</v>
      </c>
      <c r="K1040" t="s">
        <v>4</v>
      </c>
      <c r="L1040" t="s">
        <v>40</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1123</v>
      </c>
      <c r="B1041" t="s">
        <v>29</v>
      </c>
      <c r="C1041">
        <v>8</v>
      </c>
      <c r="D1041">
        <v>39.4</v>
      </c>
      <c r="E1041">
        <v>315.2</v>
      </c>
      <c r="F1041" s="1">
        <v>45698</v>
      </c>
      <c r="G1041" s="1">
        <v>45700</v>
      </c>
      <c r="H1041" t="s">
        <v>8</v>
      </c>
      <c r="I1041" t="s">
        <v>3</v>
      </c>
      <c r="J1041">
        <v>4</v>
      </c>
      <c r="K1041" t="s">
        <v>4</v>
      </c>
      <c r="L1041" t="s">
        <v>327</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1124</v>
      </c>
      <c r="B1042" t="s">
        <v>131</v>
      </c>
      <c r="C1042">
        <v>3</v>
      </c>
      <c r="D1042">
        <v>66.400000000000006</v>
      </c>
      <c r="E1042">
        <v>199.20000000000002</v>
      </c>
      <c r="F1042" s="1">
        <v>45698</v>
      </c>
      <c r="G1042" s="1">
        <v>45699</v>
      </c>
      <c r="H1042" t="s">
        <v>2</v>
      </c>
      <c r="I1042" t="s">
        <v>25</v>
      </c>
      <c r="J1042">
        <v>3</v>
      </c>
      <c r="K1042" t="s">
        <v>4</v>
      </c>
      <c r="L1042" t="s">
        <v>44</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1125</v>
      </c>
      <c r="B1043" t="s">
        <v>120</v>
      </c>
      <c r="C1043">
        <v>4</v>
      </c>
      <c r="D1043">
        <v>35.9</v>
      </c>
      <c r="E1043">
        <v>143.6</v>
      </c>
      <c r="F1043" s="1">
        <v>45698</v>
      </c>
      <c r="G1043" s="1">
        <v>45705</v>
      </c>
      <c r="H1043" t="s">
        <v>12</v>
      </c>
      <c r="I1043" t="s">
        <v>20</v>
      </c>
      <c r="J1043">
        <v>4</v>
      </c>
      <c r="K1043" t="s">
        <v>4</v>
      </c>
      <c r="L1043" t="s">
        <v>44</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1126</v>
      </c>
      <c r="B1044" t="s">
        <v>1</v>
      </c>
      <c r="C1044">
        <v>4</v>
      </c>
      <c r="D1044">
        <v>26.9</v>
      </c>
      <c r="E1044">
        <v>107.6</v>
      </c>
      <c r="F1044" s="1">
        <v>45698</v>
      </c>
      <c r="G1044" s="1">
        <v>45699</v>
      </c>
      <c r="H1044" t="s">
        <v>8</v>
      </c>
      <c r="I1044" t="s">
        <v>20</v>
      </c>
      <c r="J1044">
        <v>4</v>
      </c>
      <c r="K1044" t="s">
        <v>4</v>
      </c>
      <c r="L1044" t="s">
        <v>44</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1127</v>
      </c>
      <c r="B1045" t="s">
        <v>11</v>
      </c>
      <c r="C1045">
        <v>1</v>
      </c>
      <c r="D1045">
        <v>55.1</v>
      </c>
      <c r="E1045">
        <v>55.1</v>
      </c>
      <c r="F1045" s="1">
        <v>45698</v>
      </c>
      <c r="G1045" s="1">
        <v>45699</v>
      </c>
      <c r="H1045" t="s">
        <v>12</v>
      </c>
      <c r="I1045" t="s">
        <v>3</v>
      </c>
      <c r="J1045">
        <v>4</v>
      </c>
      <c r="K1045" t="s">
        <v>4</v>
      </c>
      <c r="L1045" t="s">
        <v>44</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1128</v>
      </c>
      <c r="B1046" t="s">
        <v>17</v>
      </c>
      <c r="C1046">
        <v>2</v>
      </c>
      <c r="D1046">
        <v>23.9</v>
      </c>
      <c r="E1046">
        <v>47.8</v>
      </c>
      <c r="F1046" s="1">
        <v>45698</v>
      </c>
      <c r="G1046" s="1">
        <v>45699</v>
      </c>
      <c r="H1046" t="s">
        <v>8</v>
      </c>
      <c r="I1046" t="s">
        <v>3</v>
      </c>
      <c r="J1046">
        <v>5</v>
      </c>
      <c r="K1046" t="s">
        <v>4</v>
      </c>
      <c r="L1046" t="s">
        <v>47</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1129</v>
      </c>
      <c r="B1047" t="s">
        <v>31</v>
      </c>
      <c r="C1047">
        <v>13</v>
      </c>
      <c r="D1047">
        <v>21.1</v>
      </c>
      <c r="E1047">
        <v>274.3</v>
      </c>
      <c r="F1047" s="1">
        <v>45698</v>
      </c>
      <c r="G1047" s="1">
        <v>45706</v>
      </c>
      <c r="H1047" t="s">
        <v>12</v>
      </c>
      <c r="I1047" t="s">
        <v>3</v>
      </c>
      <c r="J1047">
        <v>3</v>
      </c>
      <c r="K1047" t="s">
        <v>4</v>
      </c>
      <c r="L1047" t="s">
        <v>47</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1130</v>
      </c>
      <c r="B1048" t="s">
        <v>29</v>
      </c>
      <c r="C1048">
        <v>5</v>
      </c>
      <c r="D1048">
        <v>33.799999999999997</v>
      </c>
      <c r="E1048">
        <v>169</v>
      </c>
      <c r="F1048" s="1">
        <v>45698</v>
      </c>
      <c r="G1048" s="1">
        <v>45700</v>
      </c>
      <c r="H1048" t="s">
        <v>12</v>
      </c>
      <c r="I1048" t="s">
        <v>3</v>
      </c>
      <c r="J1048">
        <v>4</v>
      </c>
      <c r="K1048" t="s">
        <v>4</v>
      </c>
      <c r="L1048" t="s">
        <v>47</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1131</v>
      </c>
      <c r="B1049" t="s">
        <v>11</v>
      </c>
      <c r="C1049">
        <v>4</v>
      </c>
      <c r="D1049">
        <v>56.1</v>
      </c>
      <c r="E1049">
        <v>224.4</v>
      </c>
      <c r="F1049" s="1">
        <v>45698</v>
      </c>
      <c r="G1049" s="1">
        <v>45698</v>
      </c>
      <c r="H1049" t="s">
        <v>12</v>
      </c>
      <c r="I1049" t="s">
        <v>36</v>
      </c>
      <c r="J1049">
        <v>5</v>
      </c>
      <c r="K1049" t="s">
        <v>4</v>
      </c>
      <c r="L1049" t="s">
        <v>57</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1132</v>
      </c>
      <c r="B1050" t="s">
        <v>15</v>
      </c>
      <c r="C1050">
        <v>1</v>
      </c>
      <c r="D1050">
        <v>58.5</v>
      </c>
      <c r="E1050">
        <v>58.5</v>
      </c>
      <c r="F1050" s="1">
        <v>45699</v>
      </c>
      <c r="G1050" s="1">
        <v>45703</v>
      </c>
      <c r="H1050" t="s">
        <v>12</v>
      </c>
      <c r="I1050" t="s">
        <v>20</v>
      </c>
      <c r="J1050">
        <v>5</v>
      </c>
      <c r="K1050" t="s">
        <v>4</v>
      </c>
      <c r="L1050" t="s">
        <v>57</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1133</v>
      </c>
      <c r="B1051" t="s">
        <v>24</v>
      </c>
      <c r="C1051">
        <v>1</v>
      </c>
      <c r="D1051">
        <v>84.2</v>
      </c>
      <c r="E1051">
        <v>84.2</v>
      </c>
      <c r="F1051" s="1">
        <v>45699</v>
      </c>
      <c r="G1051" s="1">
        <v>45701</v>
      </c>
      <c r="H1051" t="s">
        <v>8</v>
      </c>
      <c r="I1051" t="s">
        <v>36</v>
      </c>
      <c r="J1051">
        <v>4</v>
      </c>
      <c r="K1051" t="s">
        <v>4</v>
      </c>
      <c r="L1051" t="s">
        <v>62</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1134</v>
      </c>
      <c r="B1052" t="s">
        <v>52</v>
      </c>
      <c r="C1052">
        <v>4</v>
      </c>
      <c r="D1052">
        <v>52</v>
      </c>
      <c r="E1052">
        <v>208</v>
      </c>
      <c r="F1052" s="1">
        <v>45699</v>
      </c>
      <c r="G1052" s="1">
        <v>45702</v>
      </c>
      <c r="H1052" t="s">
        <v>8</v>
      </c>
      <c r="I1052" t="s">
        <v>3</v>
      </c>
      <c r="J1052">
        <v>4</v>
      </c>
      <c r="K1052" t="s">
        <v>4</v>
      </c>
      <c r="L1052" t="s">
        <v>62</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1135</v>
      </c>
      <c r="B1053" t="s">
        <v>17</v>
      </c>
      <c r="C1053">
        <v>5</v>
      </c>
      <c r="D1053">
        <v>31.5</v>
      </c>
      <c r="E1053">
        <v>157.5</v>
      </c>
      <c r="F1053" s="1">
        <v>45699</v>
      </c>
      <c r="G1053" s="1">
        <v>45700</v>
      </c>
      <c r="H1053" t="s">
        <v>12</v>
      </c>
      <c r="I1053" t="s">
        <v>3</v>
      </c>
      <c r="J1053">
        <v>5</v>
      </c>
      <c r="K1053" t="s">
        <v>4</v>
      </c>
      <c r="L1053" t="s">
        <v>62</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1136</v>
      </c>
      <c r="B1054" t="s">
        <v>113</v>
      </c>
      <c r="C1054">
        <v>3</v>
      </c>
      <c r="D1054">
        <v>46.2</v>
      </c>
      <c r="E1054">
        <v>138.60000000000002</v>
      </c>
      <c r="F1054" s="1">
        <v>45699</v>
      </c>
      <c r="G1054" s="1">
        <v>45700</v>
      </c>
      <c r="H1054" t="s">
        <v>8</v>
      </c>
      <c r="I1054" t="s">
        <v>3</v>
      </c>
      <c r="J1054">
        <v>4</v>
      </c>
      <c r="K1054" t="s">
        <v>4</v>
      </c>
      <c r="L1054" t="s">
        <v>1101</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1137</v>
      </c>
      <c r="B1055" t="s">
        <v>11</v>
      </c>
      <c r="C1055">
        <v>6</v>
      </c>
      <c r="D1055">
        <v>135</v>
      </c>
      <c r="E1055">
        <v>810</v>
      </c>
      <c r="F1055" s="1">
        <v>45699</v>
      </c>
      <c r="G1055" s="1">
        <v>45700</v>
      </c>
      <c r="H1055" t="s">
        <v>12</v>
      </c>
      <c r="I1055" t="s">
        <v>20</v>
      </c>
      <c r="J1055">
        <v>5</v>
      </c>
      <c r="K1055" t="s">
        <v>4</v>
      </c>
      <c r="L1055" t="s">
        <v>93</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1138</v>
      </c>
      <c r="B1056" t="s">
        <v>54</v>
      </c>
      <c r="C1056">
        <v>3</v>
      </c>
      <c r="D1056">
        <v>92.2</v>
      </c>
      <c r="E1056">
        <v>276.60000000000002</v>
      </c>
      <c r="F1056" s="1">
        <v>45699</v>
      </c>
      <c r="G1056" s="1">
        <v>45703</v>
      </c>
      <c r="H1056" t="s">
        <v>8</v>
      </c>
      <c r="I1056" t="s">
        <v>3</v>
      </c>
      <c r="J1056">
        <v>4</v>
      </c>
      <c r="K1056" t="s">
        <v>4</v>
      </c>
      <c r="L1056" t="s">
        <v>100</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1139</v>
      </c>
      <c r="B1057" t="s">
        <v>29</v>
      </c>
      <c r="C1057">
        <v>1</v>
      </c>
      <c r="D1057">
        <v>36.6</v>
      </c>
      <c r="E1057">
        <v>36.6</v>
      </c>
      <c r="F1057" s="1">
        <v>45699</v>
      </c>
      <c r="G1057" s="1">
        <v>45701</v>
      </c>
      <c r="H1057" t="s">
        <v>8</v>
      </c>
      <c r="I1057" t="s">
        <v>25</v>
      </c>
      <c r="J1057">
        <v>5</v>
      </c>
      <c r="K1057" t="s">
        <v>4</v>
      </c>
      <c r="L1057" t="s">
        <v>100</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1140</v>
      </c>
      <c r="B1058" t="s">
        <v>31</v>
      </c>
      <c r="C1058">
        <v>2</v>
      </c>
      <c r="D1058">
        <v>50.6</v>
      </c>
      <c r="E1058">
        <v>101.2</v>
      </c>
      <c r="F1058" s="1">
        <v>45699</v>
      </c>
      <c r="G1058" s="1">
        <v>45702</v>
      </c>
      <c r="H1058" t="s">
        <v>12</v>
      </c>
      <c r="I1058" t="s">
        <v>3</v>
      </c>
      <c r="J1058">
        <v>4</v>
      </c>
      <c r="K1058" t="s">
        <v>4</v>
      </c>
      <c r="L1058" t="s">
        <v>13</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1141</v>
      </c>
      <c r="B1059" t="s">
        <v>131</v>
      </c>
      <c r="C1059">
        <v>7</v>
      </c>
      <c r="D1059">
        <v>56.7</v>
      </c>
      <c r="E1059">
        <v>396.90000000000003</v>
      </c>
      <c r="F1059" s="1">
        <v>45699</v>
      </c>
      <c r="G1059" s="1">
        <v>45702</v>
      </c>
      <c r="H1059" t="s">
        <v>12</v>
      </c>
      <c r="I1059" t="s">
        <v>3</v>
      </c>
      <c r="J1059">
        <v>4</v>
      </c>
      <c r="K1059" t="s">
        <v>4</v>
      </c>
      <c r="L1059" t="s">
        <v>13</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1142</v>
      </c>
      <c r="B1060" t="s">
        <v>31</v>
      </c>
      <c r="C1060">
        <v>13</v>
      </c>
      <c r="D1060">
        <v>22.9</v>
      </c>
      <c r="E1060">
        <v>297.7</v>
      </c>
      <c r="F1060" s="1">
        <v>45699</v>
      </c>
      <c r="G1060" s="1">
        <v>45700</v>
      </c>
      <c r="H1060" t="s">
        <v>12</v>
      </c>
      <c r="I1060" t="s">
        <v>3</v>
      </c>
      <c r="J1060">
        <v>3</v>
      </c>
      <c r="K1060" t="s">
        <v>4</v>
      </c>
      <c r="L1060" t="s">
        <v>572</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1143</v>
      </c>
      <c r="B1061" t="s">
        <v>108</v>
      </c>
      <c r="C1061">
        <v>19</v>
      </c>
      <c r="D1061">
        <v>53.6</v>
      </c>
      <c r="E1061">
        <v>1018.4</v>
      </c>
      <c r="F1061" s="1">
        <v>45699</v>
      </c>
      <c r="G1061" s="1">
        <v>45700</v>
      </c>
      <c r="H1061" t="s">
        <v>8</v>
      </c>
      <c r="I1061" t="s">
        <v>3</v>
      </c>
      <c r="J1061">
        <v>4</v>
      </c>
      <c r="K1061" t="s">
        <v>4</v>
      </c>
      <c r="L1061" t="s">
        <v>132</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1144</v>
      </c>
      <c r="B1062" t="s">
        <v>131</v>
      </c>
      <c r="C1062">
        <v>2</v>
      </c>
      <c r="D1062">
        <v>30.2</v>
      </c>
      <c r="E1062">
        <v>60.4</v>
      </c>
      <c r="F1062" s="1">
        <v>45699</v>
      </c>
      <c r="G1062" s="1">
        <v>45701</v>
      </c>
      <c r="H1062" t="s">
        <v>2</v>
      </c>
      <c r="I1062" t="s">
        <v>25</v>
      </c>
      <c r="J1062">
        <v>5</v>
      </c>
      <c r="K1062" t="s">
        <v>4</v>
      </c>
      <c r="L1062" t="s">
        <v>18</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1145</v>
      </c>
      <c r="B1063" t="s">
        <v>108</v>
      </c>
      <c r="C1063">
        <v>6</v>
      </c>
      <c r="D1063">
        <v>83.4</v>
      </c>
      <c r="E1063">
        <v>500.40000000000003</v>
      </c>
      <c r="F1063" s="1">
        <v>45699</v>
      </c>
      <c r="G1063" s="1">
        <v>45700</v>
      </c>
      <c r="H1063" t="s">
        <v>8</v>
      </c>
      <c r="I1063" t="s">
        <v>20</v>
      </c>
      <c r="J1063">
        <v>5</v>
      </c>
      <c r="K1063" t="s">
        <v>4</v>
      </c>
      <c r="L1063" t="s">
        <v>18</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1146</v>
      </c>
      <c r="B1064" t="s">
        <v>61</v>
      </c>
      <c r="C1064">
        <v>12</v>
      </c>
      <c r="D1064">
        <v>16.600000000000001</v>
      </c>
      <c r="E1064">
        <v>199.20000000000002</v>
      </c>
      <c r="F1064" s="1">
        <v>45699</v>
      </c>
      <c r="G1064" s="1">
        <v>45701</v>
      </c>
      <c r="H1064" t="s">
        <v>8</v>
      </c>
      <c r="I1064" t="s">
        <v>20</v>
      </c>
      <c r="J1064">
        <v>4</v>
      </c>
      <c r="K1064" t="s">
        <v>4</v>
      </c>
      <c r="L1064" t="s">
        <v>18</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1147</v>
      </c>
      <c r="B1065" t="s">
        <v>29</v>
      </c>
      <c r="C1065">
        <v>17</v>
      </c>
      <c r="D1065">
        <v>21.9</v>
      </c>
      <c r="E1065">
        <v>372.29999999999995</v>
      </c>
      <c r="F1065" s="1">
        <v>45699</v>
      </c>
      <c r="G1065" s="1">
        <v>45701</v>
      </c>
      <c r="H1065" t="s">
        <v>12</v>
      </c>
      <c r="I1065" t="s">
        <v>55</v>
      </c>
      <c r="J1065">
        <v>3</v>
      </c>
      <c r="K1065" t="s">
        <v>4</v>
      </c>
      <c r="L1065" t="s">
        <v>18</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1148</v>
      </c>
      <c r="B1066" t="s">
        <v>29</v>
      </c>
      <c r="C1066">
        <v>28</v>
      </c>
      <c r="D1066">
        <v>33.799999999999997</v>
      </c>
      <c r="E1066">
        <v>946.39999999999986</v>
      </c>
      <c r="F1066" s="1">
        <v>45699</v>
      </c>
      <c r="G1066" s="1">
        <v>45701</v>
      </c>
      <c r="H1066" t="s">
        <v>8</v>
      </c>
      <c r="I1066" t="s">
        <v>25</v>
      </c>
      <c r="J1066">
        <v>2</v>
      </c>
      <c r="K1066" t="s">
        <v>4</v>
      </c>
      <c r="L1066" t="s">
        <v>18</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1149</v>
      </c>
      <c r="B1067" t="s">
        <v>131</v>
      </c>
      <c r="C1067">
        <v>2</v>
      </c>
      <c r="D1067">
        <v>53.2</v>
      </c>
      <c r="E1067">
        <v>106.4</v>
      </c>
      <c r="F1067" s="1">
        <v>45699</v>
      </c>
      <c r="G1067" s="1">
        <v>45699</v>
      </c>
      <c r="H1067" t="s">
        <v>8</v>
      </c>
      <c r="I1067" t="s">
        <v>20</v>
      </c>
      <c r="J1067">
        <v>4</v>
      </c>
      <c r="K1067" t="s">
        <v>4</v>
      </c>
      <c r="L1067" t="s">
        <v>18</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1150</v>
      </c>
      <c r="B1068" t="s">
        <v>11</v>
      </c>
      <c r="C1068">
        <v>2</v>
      </c>
      <c r="D1068">
        <v>176.7</v>
      </c>
      <c r="E1068">
        <v>353.4</v>
      </c>
      <c r="F1068" s="1">
        <v>45699</v>
      </c>
      <c r="G1068" s="1">
        <v>45702</v>
      </c>
      <c r="H1068" t="s">
        <v>12</v>
      </c>
      <c r="I1068" t="s">
        <v>25</v>
      </c>
      <c r="J1068">
        <v>4</v>
      </c>
      <c r="K1068" t="s">
        <v>4</v>
      </c>
      <c r="L1068" t="s">
        <v>18</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1151</v>
      </c>
      <c r="B1069" t="s">
        <v>54</v>
      </c>
      <c r="C1069">
        <v>3</v>
      </c>
      <c r="D1069">
        <v>54</v>
      </c>
      <c r="E1069">
        <v>162</v>
      </c>
      <c r="F1069" s="1">
        <v>45699</v>
      </c>
      <c r="G1069" s="1">
        <v>45702</v>
      </c>
      <c r="H1069" t="s">
        <v>8</v>
      </c>
      <c r="I1069" t="s">
        <v>3</v>
      </c>
      <c r="J1069">
        <v>3</v>
      </c>
      <c r="K1069" t="s">
        <v>4</v>
      </c>
      <c r="L1069" t="s">
        <v>18</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1152</v>
      </c>
      <c r="B1070" t="s">
        <v>31</v>
      </c>
      <c r="C1070">
        <v>2</v>
      </c>
      <c r="D1070">
        <v>70.099999999999994</v>
      </c>
      <c r="E1070">
        <v>140.19999999999999</v>
      </c>
      <c r="F1070" s="1">
        <v>45699</v>
      </c>
      <c r="G1070" s="1">
        <v>45707</v>
      </c>
      <c r="H1070" t="s">
        <v>12</v>
      </c>
      <c r="I1070" t="s">
        <v>36</v>
      </c>
      <c r="J1070">
        <v>5</v>
      </c>
      <c r="K1070" t="s">
        <v>4</v>
      </c>
      <c r="L1070" t="s">
        <v>18</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1153</v>
      </c>
      <c r="B1071" t="s">
        <v>29</v>
      </c>
      <c r="C1071">
        <v>1</v>
      </c>
      <c r="D1071">
        <v>26.5</v>
      </c>
      <c r="E1071">
        <v>26.5</v>
      </c>
      <c r="F1071" s="1">
        <v>45699</v>
      </c>
      <c r="G1071" s="1">
        <v>45701</v>
      </c>
      <c r="H1071" t="s">
        <v>12</v>
      </c>
      <c r="I1071" t="s">
        <v>20</v>
      </c>
      <c r="J1071">
        <v>4</v>
      </c>
      <c r="K1071" t="s">
        <v>4</v>
      </c>
      <c r="L1071" t="s">
        <v>18</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1154</v>
      </c>
      <c r="B1072" t="s">
        <v>27</v>
      </c>
      <c r="C1072">
        <v>5</v>
      </c>
      <c r="D1072">
        <v>89</v>
      </c>
      <c r="E1072">
        <v>445</v>
      </c>
      <c r="F1072" s="1">
        <v>45699</v>
      </c>
      <c r="G1072" s="1">
        <v>45701</v>
      </c>
      <c r="H1072" t="s">
        <v>8</v>
      </c>
      <c r="I1072" t="s">
        <v>25</v>
      </c>
      <c r="J1072">
        <v>2</v>
      </c>
      <c r="K1072" t="s">
        <v>4</v>
      </c>
      <c r="L1072" t="s">
        <v>18</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1155</v>
      </c>
      <c r="B1073" t="s">
        <v>7</v>
      </c>
      <c r="C1073">
        <v>6</v>
      </c>
      <c r="D1073">
        <v>47</v>
      </c>
      <c r="E1073">
        <v>282</v>
      </c>
      <c r="F1073" s="1">
        <v>45699</v>
      </c>
      <c r="G1073" s="1">
        <v>45702</v>
      </c>
      <c r="H1073" t="s">
        <v>12</v>
      </c>
      <c r="I1073" t="s">
        <v>36</v>
      </c>
      <c r="J1073">
        <v>4</v>
      </c>
      <c r="K1073" t="s">
        <v>4</v>
      </c>
      <c r="L1073" t="s">
        <v>171</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1156</v>
      </c>
      <c r="B1074" t="s">
        <v>15</v>
      </c>
      <c r="C1074">
        <v>2</v>
      </c>
      <c r="D1074">
        <v>55.2</v>
      </c>
      <c r="E1074">
        <v>110.4</v>
      </c>
      <c r="F1074" s="1">
        <v>45699</v>
      </c>
      <c r="G1074" s="1">
        <v>45702</v>
      </c>
      <c r="H1074" t="s">
        <v>8</v>
      </c>
      <c r="I1074" t="s">
        <v>20</v>
      </c>
      <c r="J1074">
        <v>3</v>
      </c>
      <c r="K1074" t="s">
        <v>4</v>
      </c>
      <c r="L1074" t="s">
        <v>40</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1157</v>
      </c>
      <c r="B1075" t="s">
        <v>29</v>
      </c>
      <c r="C1075">
        <v>42</v>
      </c>
      <c r="D1075">
        <v>33.299999999999997</v>
      </c>
      <c r="E1075">
        <v>1398.6</v>
      </c>
      <c r="F1075" s="1">
        <v>45699</v>
      </c>
      <c r="G1075" s="1">
        <v>45713</v>
      </c>
      <c r="H1075" t="s">
        <v>8</v>
      </c>
      <c r="I1075" t="s">
        <v>20</v>
      </c>
      <c r="J1075">
        <v>5</v>
      </c>
      <c r="K1075" t="s">
        <v>4</v>
      </c>
      <c r="L1075" t="s">
        <v>40</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1158</v>
      </c>
      <c r="B1076" t="s">
        <v>11</v>
      </c>
      <c r="C1076">
        <v>4</v>
      </c>
      <c r="D1076">
        <v>110.9</v>
      </c>
      <c r="E1076">
        <v>443.6</v>
      </c>
      <c r="F1076" s="1">
        <v>45700</v>
      </c>
      <c r="G1076" s="1">
        <v>45700</v>
      </c>
      <c r="H1076" t="s">
        <v>8</v>
      </c>
      <c r="I1076" t="s">
        <v>25</v>
      </c>
      <c r="J1076">
        <v>2</v>
      </c>
      <c r="K1076" t="s">
        <v>4</v>
      </c>
      <c r="L1076" t="s">
        <v>40</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1159</v>
      </c>
      <c r="B1077" t="s">
        <v>11</v>
      </c>
      <c r="C1077">
        <v>6</v>
      </c>
      <c r="D1077">
        <v>67.3</v>
      </c>
      <c r="E1077">
        <v>403.79999999999995</v>
      </c>
      <c r="F1077" s="1">
        <v>45700</v>
      </c>
      <c r="G1077" s="1">
        <v>45701</v>
      </c>
      <c r="H1077" t="s">
        <v>8</v>
      </c>
      <c r="I1077" t="s">
        <v>3</v>
      </c>
      <c r="J1077">
        <v>4</v>
      </c>
      <c r="K1077" t="s">
        <v>4</v>
      </c>
      <c r="L1077" t="s">
        <v>47</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1160</v>
      </c>
      <c r="B1078" t="s">
        <v>24</v>
      </c>
      <c r="C1078">
        <v>3</v>
      </c>
      <c r="D1078">
        <v>69.7</v>
      </c>
      <c r="E1078">
        <v>209.10000000000002</v>
      </c>
      <c r="F1078" s="1">
        <v>45700</v>
      </c>
      <c r="G1078" s="1">
        <v>45701</v>
      </c>
      <c r="H1078" t="s">
        <v>8</v>
      </c>
      <c r="I1078" t="s">
        <v>25</v>
      </c>
      <c r="J1078">
        <v>3</v>
      </c>
      <c r="K1078" t="s">
        <v>4</v>
      </c>
      <c r="L1078" t="s">
        <v>47</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1161</v>
      </c>
      <c r="B1079" t="s">
        <v>22</v>
      </c>
      <c r="C1079">
        <v>1</v>
      </c>
      <c r="D1079">
        <v>39.1</v>
      </c>
      <c r="E1079">
        <v>39.1</v>
      </c>
      <c r="F1079" s="1">
        <v>45700</v>
      </c>
      <c r="G1079" s="1">
        <v>45705</v>
      </c>
      <c r="H1079" t="s">
        <v>8</v>
      </c>
      <c r="I1079" t="s">
        <v>3</v>
      </c>
      <c r="J1079">
        <v>3</v>
      </c>
      <c r="K1079" t="s">
        <v>4</v>
      </c>
      <c r="L1079" t="s">
        <v>88</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1162</v>
      </c>
      <c r="B1080" t="s">
        <v>11</v>
      </c>
      <c r="C1080">
        <v>3</v>
      </c>
      <c r="D1080">
        <v>208.6</v>
      </c>
      <c r="E1080">
        <v>625.79999999999995</v>
      </c>
      <c r="F1080" s="1">
        <v>45700</v>
      </c>
      <c r="G1080" s="1">
        <v>45700</v>
      </c>
      <c r="H1080" t="s">
        <v>8</v>
      </c>
      <c r="I1080" t="s">
        <v>55</v>
      </c>
      <c r="J1080">
        <v>5</v>
      </c>
      <c r="K1080" t="s">
        <v>4</v>
      </c>
      <c r="L1080" t="s">
        <v>88</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1163</v>
      </c>
      <c r="B1081" t="s">
        <v>108</v>
      </c>
      <c r="C1081">
        <v>3</v>
      </c>
      <c r="D1081">
        <v>27.8</v>
      </c>
      <c r="E1081">
        <v>83.4</v>
      </c>
      <c r="F1081" s="1">
        <v>45700</v>
      </c>
      <c r="G1081" s="1">
        <v>45701</v>
      </c>
      <c r="H1081" t="s">
        <v>8</v>
      </c>
      <c r="I1081" t="s">
        <v>36</v>
      </c>
      <c r="J1081">
        <v>3</v>
      </c>
      <c r="K1081" t="s">
        <v>4</v>
      </c>
      <c r="L1081" t="s">
        <v>62</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1164</v>
      </c>
      <c r="B1082" t="s">
        <v>39</v>
      </c>
      <c r="C1082">
        <v>5</v>
      </c>
      <c r="D1082">
        <v>29.4</v>
      </c>
      <c r="E1082">
        <v>147</v>
      </c>
      <c r="F1082" s="1">
        <v>45700</v>
      </c>
      <c r="G1082" s="1">
        <v>45702</v>
      </c>
      <c r="H1082" t="s">
        <v>12</v>
      </c>
      <c r="I1082" t="s">
        <v>3</v>
      </c>
      <c r="J1082">
        <v>4</v>
      </c>
      <c r="K1082" t="s">
        <v>4</v>
      </c>
      <c r="L1082" t="s">
        <v>62</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1165</v>
      </c>
      <c r="B1083" t="s">
        <v>31</v>
      </c>
      <c r="C1083">
        <v>2</v>
      </c>
      <c r="D1083">
        <v>29.2</v>
      </c>
      <c r="E1083">
        <v>58.4</v>
      </c>
      <c r="F1083" s="1">
        <v>45700</v>
      </c>
      <c r="G1083" s="1">
        <v>45702</v>
      </c>
      <c r="H1083" t="s">
        <v>12</v>
      </c>
      <c r="I1083" t="s">
        <v>20</v>
      </c>
      <c r="J1083">
        <v>5</v>
      </c>
      <c r="K1083" t="s">
        <v>4</v>
      </c>
      <c r="L1083" t="s">
        <v>98</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1166</v>
      </c>
      <c r="B1084" t="s">
        <v>39</v>
      </c>
      <c r="C1084">
        <v>5</v>
      </c>
      <c r="D1084">
        <v>26.5</v>
      </c>
      <c r="E1084">
        <v>132.5</v>
      </c>
      <c r="F1084" s="1">
        <v>45700</v>
      </c>
      <c r="G1084" s="1">
        <v>45702</v>
      </c>
      <c r="H1084" t="s">
        <v>12</v>
      </c>
      <c r="I1084" t="s">
        <v>3</v>
      </c>
      <c r="J1084">
        <v>4</v>
      </c>
      <c r="K1084" t="s">
        <v>4</v>
      </c>
      <c r="L1084" t="s">
        <v>982</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1167</v>
      </c>
      <c r="B1085" t="s">
        <v>22</v>
      </c>
      <c r="C1085">
        <v>1</v>
      </c>
      <c r="D1085">
        <v>30.3</v>
      </c>
      <c r="E1085">
        <v>30.3</v>
      </c>
      <c r="F1085" s="1">
        <v>45700</v>
      </c>
      <c r="G1085" s="1">
        <v>45701</v>
      </c>
      <c r="H1085" t="s">
        <v>12</v>
      </c>
      <c r="I1085" t="s">
        <v>55</v>
      </c>
      <c r="J1085">
        <v>3</v>
      </c>
      <c r="K1085" t="s">
        <v>4</v>
      </c>
      <c r="L1085" t="s">
        <v>67</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1168</v>
      </c>
      <c r="B1086" t="s">
        <v>113</v>
      </c>
      <c r="C1086">
        <v>12</v>
      </c>
      <c r="D1086">
        <v>39.700000000000003</v>
      </c>
      <c r="E1086">
        <v>476.40000000000003</v>
      </c>
      <c r="F1086" s="1">
        <v>45700</v>
      </c>
      <c r="G1086" s="1">
        <v>45701</v>
      </c>
      <c r="H1086" t="s">
        <v>12</v>
      </c>
      <c r="I1086" t="s">
        <v>3</v>
      </c>
      <c r="J1086">
        <v>4</v>
      </c>
      <c r="K1086" t="s">
        <v>4</v>
      </c>
      <c r="L1086" t="s">
        <v>100</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1169</v>
      </c>
      <c r="B1087" t="s">
        <v>27</v>
      </c>
      <c r="C1087">
        <v>10</v>
      </c>
      <c r="D1087">
        <v>58.9</v>
      </c>
      <c r="E1087">
        <v>589</v>
      </c>
      <c r="F1087" s="1">
        <v>45700</v>
      </c>
      <c r="G1087" s="1">
        <v>45702</v>
      </c>
      <c r="H1087" t="s">
        <v>12</v>
      </c>
      <c r="I1087" t="s">
        <v>20</v>
      </c>
      <c r="J1087">
        <v>2</v>
      </c>
      <c r="K1087" t="s">
        <v>4</v>
      </c>
      <c r="L1087" t="s">
        <v>100</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1170</v>
      </c>
      <c r="B1088" t="s">
        <v>11</v>
      </c>
      <c r="C1088">
        <v>2</v>
      </c>
      <c r="D1088">
        <v>174.1</v>
      </c>
      <c r="E1088">
        <v>348.2</v>
      </c>
      <c r="F1088" s="1">
        <v>45700</v>
      </c>
      <c r="G1088" s="1">
        <v>45702</v>
      </c>
      <c r="H1088" t="s">
        <v>12</v>
      </c>
      <c r="I1088" t="s">
        <v>3</v>
      </c>
      <c r="J1088">
        <v>3</v>
      </c>
      <c r="K1088" t="s">
        <v>4</v>
      </c>
      <c r="L1088" t="s">
        <v>626</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1171</v>
      </c>
      <c r="B1089" t="s">
        <v>24</v>
      </c>
      <c r="C1089">
        <v>2</v>
      </c>
      <c r="D1089">
        <v>70.8</v>
      </c>
      <c r="E1089">
        <v>141.6</v>
      </c>
      <c r="F1089" s="1">
        <v>45700</v>
      </c>
      <c r="G1089" s="1">
        <v>45703</v>
      </c>
      <c r="H1089" t="s">
        <v>8</v>
      </c>
      <c r="I1089" t="s">
        <v>25</v>
      </c>
      <c r="J1089">
        <v>4</v>
      </c>
      <c r="K1089" t="s">
        <v>4</v>
      </c>
      <c r="L1089" t="s">
        <v>132</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1172</v>
      </c>
      <c r="B1090" t="s">
        <v>27</v>
      </c>
      <c r="C1090">
        <v>2</v>
      </c>
      <c r="D1090">
        <v>57.4</v>
      </c>
      <c r="E1090">
        <v>114.8</v>
      </c>
      <c r="F1090" s="1">
        <v>45700</v>
      </c>
      <c r="G1090" s="1">
        <v>45702</v>
      </c>
      <c r="H1090" t="s">
        <v>12</v>
      </c>
      <c r="I1090" t="s">
        <v>20</v>
      </c>
      <c r="J1090">
        <v>3</v>
      </c>
      <c r="K1090" t="s">
        <v>4</v>
      </c>
      <c r="L1090" t="s">
        <v>319</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1173</v>
      </c>
      <c r="B1091" t="s">
        <v>1</v>
      </c>
      <c r="C1091">
        <v>2</v>
      </c>
      <c r="D1091">
        <v>28.5</v>
      </c>
      <c r="E1091">
        <v>57</v>
      </c>
      <c r="F1091" s="1">
        <v>45700</v>
      </c>
      <c r="G1091" s="1">
        <v>45702</v>
      </c>
      <c r="H1091" t="s">
        <v>8</v>
      </c>
      <c r="I1091" t="s">
        <v>36</v>
      </c>
      <c r="J1091">
        <v>3</v>
      </c>
      <c r="K1091" t="s">
        <v>4</v>
      </c>
      <c r="L1091" t="s">
        <v>18</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1174</v>
      </c>
      <c r="B1092" t="s">
        <v>11</v>
      </c>
      <c r="C1092">
        <v>20</v>
      </c>
      <c r="D1092">
        <v>106.6</v>
      </c>
      <c r="E1092">
        <v>2132</v>
      </c>
      <c r="F1092" s="1">
        <v>45700</v>
      </c>
      <c r="G1092" s="1">
        <v>45701</v>
      </c>
      <c r="H1092" t="s">
        <v>2</v>
      </c>
      <c r="I1092" t="s">
        <v>20</v>
      </c>
      <c r="J1092">
        <v>2</v>
      </c>
      <c r="K1092" t="s">
        <v>4</v>
      </c>
      <c r="L1092" t="s">
        <v>18</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1175</v>
      </c>
      <c r="B1093" t="s">
        <v>11</v>
      </c>
      <c r="C1093">
        <v>3</v>
      </c>
      <c r="D1093">
        <v>119.7</v>
      </c>
      <c r="E1093">
        <v>359.1</v>
      </c>
      <c r="F1093" s="1">
        <v>45700</v>
      </c>
      <c r="G1093" s="1">
        <v>45701</v>
      </c>
      <c r="H1093" t="s">
        <v>12</v>
      </c>
      <c r="I1093" t="s">
        <v>20</v>
      </c>
      <c r="J1093">
        <v>2</v>
      </c>
      <c r="K1093" t="s">
        <v>4</v>
      </c>
      <c r="L1093" t="s">
        <v>18</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1176</v>
      </c>
      <c r="B1094" t="s">
        <v>131</v>
      </c>
      <c r="C1094">
        <v>1</v>
      </c>
      <c r="D1094">
        <v>73.3</v>
      </c>
      <c r="E1094">
        <v>73.3</v>
      </c>
      <c r="F1094" s="1">
        <v>45700</v>
      </c>
      <c r="G1094" s="1">
        <v>45705</v>
      </c>
      <c r="H1094" t="s">
        <v>12</v>
      </c>
      <c r="I1094" t="s">
        <v>3</v>
      </c>
      <c r="J1094">
        <v>5</v>
      </c>
      <c r="K1094" t="s">
        <v>4</v>
      </c>
      <c r="L1094" t="s">
        <v>18</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1177</v>
      </c>
      <c r="B1095" t="s">
        <v>1</v>
      </c>
      <c r="C1095">
        <v>2</v>
      </c>
      <c r="D1095">
        <v>25.8</v>
      </c>
      <c r="E1095">
        <v>51.6</v>
      </c>
      <c r="F1095" s="1">
        <v>45700</v>
      </c>
      <c r="G1095" s="1">
        <v>45714</v>
      </c>
      <c r="H1095" t="s">
        <v>8</v>
      </c>
      <c r="I1095" t="s">
        <v>25</v>
      </c>
      <c r="J1095">
        <v>4</v>
      </c>
      <c r="K1095" t="s">
        <v>4</v>
      </c>
      <c r="L1095" t="s">
        <v>18</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1178</v>
      </c>
      <c r="B1096" t="s">
        <v>120</v>
      </c>
      <c r="C1096">
        <v>3</v>
      </c>
      <c r="D1096">
        <v>49.1</v>
      </c>
      <c r="E1096">
        <v>147.30000000000001</v>
      </c>
      <c r="F1096" s="1">
        <v>45700</v>
      </c>
      <c r="G1096" s="1">
        <v>45702</v>
      </c>
      <c r="H1096" t="s">
        <v>12</v>
      </c>
      <c r="I1096" t="s">
        <v>3</v>
      </c>
      <c r="J1096">
        <v>4</v>
      </c>
      <c r="K1096" t="s">
        <v>4</v>
      </c>
      <c r="L1096" t="s">
        <v>171</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1179</v>
      </c>
      <c r="B1097" t="s">
        <v>7</v>
      </c>
      <c r="C1097">
        <v>1</v>
      </c>
      <c r="D1097">
        <v>44.9</v>
      </c>
      <c r="E1097">
        <v>44.9</v>
      </c>
      <c r="F1097" s="1">
        <v>45700</v>
      </c>
      <c r="G1097" s="1">
        <v>45703</v>
      </c>
      <c r="H1097" t="s">
        <v>12</v>
      </c>
      <c r="I1097" t="s">
        <v>36</v>
      </c>
      <c r="J1097">
        <v>5</v>
      </c>
      <c r="K1097" t="s">
        <v>4</v>
      </c>
      <c r="L1097" t="s">
        <v>40</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1180</v>
      </c>
      <c r="B1098" t="s">
        <v>108</v>
      </c>
      <c r="C1098">
        <v>7</v>
      </c>
      <c r="D1098">
        <v>29.9</v>
      </c>
      <c r="E1098">
        <v>209.29999999999998</v>
      </c>
      <c r="F1098" s="1">
        <v>45700</v>
      </c>
      <c r="G1098" s="1">
        <v>45701</v>
      </c>
      <c r="H1098" t="s">
        <v>12</v>
      </c>
      <c r="I1098" t="s">
        <v>3</v>
      </c>
      <c r="J1098">
        <v>4</v>
      </c>
      <c r="K1098" t="s">
        <v>4</v>
      </c>
      <c r="L1098" t="s">
        <v>40</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1181</v>
      </c>
      <c r="B1099" t="s">
        <v>27</v>
      </c>
      <c r="C1099">
        <v>2</v>
      </c>
      <c r="D1099">
        <v>54.3</v>
      </c>
      <c r="E1099">
        <v>108.6</v>
      </c>
      <c r="F1099" s="1">
        <v>45701</v>
      </c>
      <c r="G1099" s="1">
        <v>45702</v>
      </c>
      <c r="H1099" t="s">
        <v>8</v>
      </c>
      <c r="I1099" t="s">
        <v>36</v>
      </c>
      <c r="J1099">
        <v>4</v>
      </c>
      <c r="K1099" t="s">
        <v>4</v>
      </c>
      <c r="L1099" t="s">
        <v>327</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1182</v>
      </c>
      <c r="B1100" t="s">
        <v>31</v>
      </c>
      <c r="C1100">
        <v>4</v>
      </c>
      <c r="D1100">
        <v>57</v>
      </c>
      <c r="E1100">
        <v>228</v>
      </c>
      <c r="F1100" s="1">
        <v>45701</v>
      </c>
      <c r="G1100" s="1">
        <v>45703</v>
      </c>
      <c r="H1100" t="s">
        <v>12</v>
      </c>
      <c r="I1100" t="s">
        <v>3</v>
      </c>
      <c r="J1100">
        <v>4</v>
      </c>
      <c r="K1100" t="s">
        <v>4</v>
      </c>
      <c r="L1100" t="s">
        <v>47</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1183</v>
      </c>
      <c r="B1101" t="s">
        <v>11</v>
      </c>
      <c r="C1101">
        <v>1</v>
      </c>
      <c r="D1101">
        <v>139.19999999999999</v>
      </c>
      <c r="E1101">
        <v>139.19999999999999</v>
      </c>
      <c r="F1101" s="1">
        <v>45701</v>
      </c>
      <c r="G1101" s="1">
        <v>45702</v>
      </c>
      <c r="H1101" t="s">
        <v>12</v>
      </c>
      <c r="I1101" t="s">
        <v>36</v>
      </c>
      <c r="J1101">
        <v>5</v>
      </c>
      <c r="K1101" t="s">
        <v>4</v>
      </c>
      <c r="L1101" t="s">
        <v>47</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1184</v>
      </c>
      <c r="B1102" t="s">
        <v>39</v>
      </c>
      <c r="C1102">
        <v>1</v>
      </c>
      <c r="D1102">
        <v>33</v>
      </c>
      <c r="E1102">
        <v>33</v>
      </c>
      <c r="F1102" s="1">
        <v>45701</v>
      </c>
      <c r="G1102" s="1">
        <v>45704</v>
      </c>
      <c r="H1102" t="s">
        <v>12</v>
      </c>
      <c r="I1102" t="s">
        <v>3</v>
      </c>
      <c r="J1102">
        <v>5</v>
      </c>
      <c r="K1102" t="s">
        <v>4</v>
      </c>
      <c r="L1102" t="s">
        <v>47</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1185</v>
      </c>
      <c r="B1103" t="s">
        <v>52</v>
      </c>
      <c r="C1103">
        <v>6</v>
      </c>
      <c r="D1103">
        <v>80.2</v>
      </c>
      <c r="E1103">
        <v>481.20000000000005</v>
      </c>
      <c r="F1103" s="1">
        <v>45701</v>
      </c>
      <c r="G1103" s="1">
        <v>45703</v>
      </c>
      <c r="H1103" t="s">
        <v>8</v>
      </c>
      <c r="I1103" t="s">
        <v>20</v>
      </c>
      <c r="J1103">
        <v>2</v>
      </c>
      <c r="K1103" t="s">
        <v>4</v>
      </c>
      <c r="L1103" t="s">
        <v>47</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1186</v>
      </c>
      <c r="B1104" t="s">
        <v>131</v>
      </c>
      <c r="C1104">
        <v>8</v>
      </c>
      <c r="D1104">
        <v>49</v>
      </c>
      <c r="E1104">
        <v>392</v>
      </c>
      <c r="F1104" s="1">
        <v>45701</v>
      </c>
      <c r="G1104" s="1">
        <v>45702</v>
      </c>
      <c r="H1104" t="s">
        <v>2</v>
      </c>
      <c r="I1104" t="s">
        <v>25</v>
      </c>
      <c r="J1104">
        <v>3</v>
      </c>
      <c r="K1104" t="s">
        <v>4</v>
      </c>
      <c r="L1104" t="s">
        <v>57</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1187</v>
      </c>
      <c r="B1105" t="s">
        <v>7</v>
      </c>
      <c r="C1105">
        <v>4</v>
      </c>
      <c r="D1105">
        <v>104.4</v>
      </c>
      <c r="E1105">
        <v>417.6</v>
      </c>
      <c r="F1105" s="1">
        <v>45701</v>
      </c>
      <c r="G1105" s="1">
        <v>45701</v>
      </c>
      <c r="H1105" t="s">
        <v>12</v>
      </c>
      <c r="I1105" t="s">
        <v>3</v>
      </c>
      <c r="J1105">
        <v>4</v>
      </c>
      <c r="K1105" t="s">
        <v>4</v>
      </c>
      <c r="L1105" t="s">
        <v>57</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1188</v>
      </c>
      <c r="B1106" t="s">
        <v>15</v>
      </c>
      <c r="C1106">
        <v>1</v>
      </c>
      <c r="D1106">
        <v>41.6</v>
      </c>
      <c r="E1106">
        <v>41.6</v>
      </c>
      <c r="F1106" s="1">
        <v>45701</v>
      </c>
      <c r="G1106" s="1">
        <v>45704</v>
      </c>
      <c r="H1106" t="s">
        <v>8</v>
      </c>
      <c r="I1106" t="s">
        <v>36</v>
      </c>
      <c r="J1106">
        <v>4</v>
      </c>
      <c r="K1106" t="s">
        <v>4</v>
      </c>
      <c r="L1106" t="s">
        <v>62</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1189</v>
      </c>
      <c r="B1107" t="s">
        <v>156</v>
      </c>
      <c r="C1107">
        <v>2</v>
      </c>
      <c r="D1107">
        <v>16.399999999999999</v>
      </c>
      <c r="E1107">
        <v>32.799999999999997</v>
      </c>
      <c r="F1107" s="1">
        <v>45701</v>
      </c>
      <c r="G1107" s="1">
        <v>45702</v>
      </c>
      <c r="H1107" t="s">
        <v>74</v>
      </c>
      <c r="I1107" t="s">
        <v>3</v>
      </c>
      <c r="J1107">
        <v>5</v>
      </c>
      <c r="K1107" t="s">
        <v>4</v>
      </c>
      <c r="L1107" t="s">
        <v>62</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1190</v>
      </c>
      <c r="B1108" t="s">
        <v>29</v>
      </c>
      <c r="C1108">
        <v>2</v>
      </c>
      <c r="D1108">
        <v>22</v>
      </c>
      <c r="E1108">
        <v>44</v>
      </c>
      <c r="F1108" s="1">
        <v>45701</v>
      </c>
      <c r="G1108" s="1">
        <v>45702</v>
      </c>
      <c r="H1108" t="s">
        <v>8</v>
      </c>
      <c r="I1108" t="s">
        <v>25</v>
      </c>
      <c r="J1108">
        <v>5</v>
      </c>
      <c r="K1108" t="s">
        <v>4</v>
      </c>
      <c r="L1108" t="s">
        <v>1101</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1191</v>
      </c>
      <c r="B1109" t="s">
        <v>108</v>
      </c>
      <c r="C1109">
        <v>2</v>
      </c>
      <c r="D1109">
        <v>33.6</v>
      </c>
      <c r="E1109">
        <v>67.2</v>
      </c>
      <c r="F1109" s="1">
        <v>45701</v>
      </c>
      <c r="G1109" s="1">
        <v>45706</v>
      </c>
      <c r="H1109" t="s">
        <v>12</v>
      </c>
      <c r="I1109" t="s">
        <v>3</v>
      </c>
      <c r="J1109">
        <v>4</v>
      </c>
      <c r="K1109" t="s">
        <v>4</v>
      </c>
      <c r="L1109" t="s">
        <v>100</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1192</v>
      </c>
      <c r="B1110" t="s">
        <v>52</v>
      </c>
      <c r="C1110">
        <v>6</v>
      </c>
      <c r="D1110">
        <v>43</v>
      </c>
      <c r="E1110">
        <v>258</v>
      </c>
      <c r="F1110" s="1">
        <v>45701</v>
      </c>
      <c r="G1110" s="1">
        <v>45702</v>
      </c>
      <c r="H1110" t="s">
        <v>12</v>
      </c>
      <c r="I1110" t="s">
        <v>25</v>
      </c>
      <c r="J1110">
        <v>4</v>
      </c>
      <c r="K1110" t="s">
        <v>4</v>
      </c>
      <c r="L1110" t="s">
        <v>100</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1193</v>
      </c>
      <c r="B1111" t="s">
        <v>24</v>
      </c>
      <c r="C1111">
        <v>5</v>
      </c>
      <c r="D1111">
        <v>108.8</v>
      </c>
      <c r="E1111">
        <v>544</v>
      </c>
      <c r="F1111" s="1">
        <v>45701</v>
      </c>
      <c r="G1111" s="1">
        <v>45704</v>
      </c>
      <c r="H1111" t="s">
        <v>12</v>
      </c>
      <c r="I1111" t="s">
        <v>55</v>
      </c>
      <c r="J1111">
        <v>5</v>
      </c>
      <c r="K1111" t="s">
        <v>4</v>
      </c>
      <c r="L1111" t="s">
        <v>100</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1194</v>
      </c>
      <c r="B1112" t="s">
        <v>1</v>
      </c>
      <c r="C1112">
        <v>9</v>
      </c>
      <c r="D1112">
        <v>29.3</v>
      </c>
      <c r="E1112">
        <v>263.7</v>
      </c>
      <c r="F1112" s="1">
        <v>45701</v>
      </c>
      <c r="G1112" s="1">
        <v>45703</v>
      </c>
      <c r="H1112" t="s">
        <v>8</v>
      </c>
      <c r="I1112" t="s">
        <v>55</v>
      </c>
      <c r="J1112">
        <v>5</v>
      </c>
      <c r="K1112" t="s">
        <v>4</v>
      </c>
      <c r="L1112" t="s">
        <v>100</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1195</v>
      </c>
      <c r="B1113" t="s">
        <v>11</v>
      </c>
      <c r="C1113">
        <v>1</v>
      </c>
      <c r="D1113">
        <v>122.7</v>
      </c>
      <c r="E1113">
        <v>122.7</v>
      </c>
      <c r="F1113" s="1">
        <v>45701</v>
      </c>
      <c r="G1113" s="1">
        <v>45704</v>
      </c>
      <c r="H1113" t="s">
        <v>74</v>
      </c>
      <c r="I1113" t="s">
        <v>3</v>
      </c>
      <c r="J1113">
        <v>5</v>
      </c>
      <c r="K1113" t="s">
        <v>4</v>
      </c>
      <c r="L1113" t="s">
        <v>9</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1196</v>
      </c>
      <c r="B1114" t="s">
        <v>17</v>
      </c>
      <c r="C1114">
        <v>7</v>
      </c>
      <c r="D1114">
        <v>22.9</v>
      </c>
      <c r="E1114">
        <v>160.29999999999998</v>
      </c>
      <c r="F1114" s="1">
        <v>45701</v>
      </c>
      <c r="G1114" s="1">
        <v>45702</v>
      </c>
      <c r="H1114" t="s">
        <v>12</v>
      </c>
      <c r="I1114" t="s">
        <v>3</v>
      </c>
      <c r="J1114">
        <v>4</v>
      </c>
      <c r="K1114" t="s">
        <v>4</v>
      </c>
      <c r="L1114" t="s">
        <v>422</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1197</v>
      </c>
      <c r="B1115" t="s">
        <v>29</v>
      </c>
      <c r="C1115">
        <v>10</v>
      </c>
      <c r="D1115">
        <v>25.5</v>
      </c>
      <c r="E1115">
        <v>255</v>
      </c>
      <c r="F1115" s="1">
        <v>45701</v>
      </c>
      <c r="G1115" s="1">
        <v>45708</v>
      </c>
      <c r="H1115" t="s">
        <v>12</v>
      </c>
      <c r="I1115" t="s">
        <v>3</v>
      </c>
      <c r="J1115">
        <v>4</v>
      </c>
      <c r="K1115" t="s">
        <v>4</v>
      </c>
      <c r="L1115" t="s">
        <v>316</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1198</v>
      </c>
      <c r="B1116" t="s">
        <v>120</v>
      </c>
      <c r="C1116">
        <v>3</v>
      </c>
      <c r="D1116">
        <v>23.4</v>
      </c>
      <c r="E1116">
        <v>70.199999999999989</v>
      </c>
      <c r="F1116" s="1">
        <v>45701</v>
      </c>
      <c r="G1116" s="1">
        <v>45705</v>
      </c>
      <c r="H1116" t="s">
        <v>12</v>
      </c>
      <c r="I1116" t="s">
        <v>3</v>
      </c>
      <c r="J1116">
        <v>5</v>
      </c>
      <c r="K1116" t="s">
        <v>4</v>
      </c>
      <c r="L1116" t="s">
        <v>18</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1199</v>
      </c>
      <c r="B1117" t="s">
        <v>22</v>
      </c>
      <c r="C1117">
        <v>8</v>
      </c>
      <c r="D1117">
        <v>27.4</v>
      </c>
      <c r="E1117">
        <v>219.2</v>
      </c>
      <c r="F1117" s="1">
        <v>45701</v>
      </c>
      <c r="G1117" s="1">
        <v>45704</v>
      </c>
      <c r="H1117" t="s">
        <v>12</v>
      </c>
      <c r="I1117" t="s">
        <v>25</v>
      </c>
      <c r="J1117">
        <v>4</v>
      </c>
      <c r="K1117" t="s">
        <v>4</v>
      </c>
      <c r="L1117" t="s">
        <v>18</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1200</v>
      </c>
      <c r="B1118" t="s">
        <v>22</v>
      </c>
      <c r="C1118">
        <v>5</v>
      </c>
      <c r="D1118">
        <v>68.400000000000006</v>
      </c>
      <c r="E1118">
        <v>342</v>
      </c>
      <c r="F1118" s="1">
        <v>45701</v>
      </c>
      <c r="G1118" s="1">
        <v>45702</v>
      </c>
      <c r="H1118" t="s">
        <v>12</v>
      </c>
      <c r="I1118" t="s">
        <v>3</v>
      </c>
      <c r="J1118">
        <v>4</v>
      </c>
      <c r="K1118" t="s">
        <v>4</v>
      </c>
      <c r="L1118" t="s">
        <v>18</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1201</v>
      </c>
      <c r="B1119" t="s">
        <v>24</v>
      </c>
      <c r="C1119">
        <v>1</v>
      </c>
      <c r="D1119">
        <v>51.9</v>
      </c>
      <c r="E1119">
        <v>51.9</v>
      </c>
      <c r="F1119" s="1">
        <v>45701</v>
      </c>
      <c r="G1119" s="1">
        <v>45701</v>
      </c>
      <c r="H1119" t="s">
        <v>12</v>
      </c>
      <c r="I1119" t="s">
        <v>3</v>
      </c>
      <c r="J1119">
        <v>4</v>
      </c>
      <c r="K1119" t="s">
        <v>4</v>
      </c>
      <c r="L1119" t="s">
        <v>18</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1202</v>
      </c>
      <c r="B1120" t="s">
        <v>1</v>
      </c>
      <c r="C1120">
        <v>5</v>
      </c>
      <c r="D1120">
        <v>26.4</v>
      </c>
      <c r="E1120">
        <v>132</v>
      </c>
      <c r="F1120" s="1">
        <v>45701</v>
      </c>
      <c r="G1120" s="1">
        <v>45704</v>
      </c>
      <c r="H1120" t="s">
        <v>12</v>
      </c>
      <c r="I1120" t="s">
        <v>3</v>
      </c>
      <c r="J1120">
        <v>5</v>
      </c>
      <c r="K1120" t="s">
        <v>4</v>
      </c>
      <c r="L1120" t="s">
        <v>18</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1203</v>
      </c>
      <c r="B1121" t="s">
        <v>54</v>
      </c>
      <c r="C1121">
        <v>2</v>
      </c>
      <c r="D1121">
        <v>117</v>
      </c>
      <c r="E1121">
        <v>234</v>
      </c>
      <c r="F1121" s="1">
        <v>45701</v>
      </c>
      <c r="G1121" s="1">
        <v>45702</v>
      </c>
      <c r="H1121" t="s">
        <v>12</v>
      </c>
      <c r="I1121" t="s">
        <v>20</v>
      </c>
      <c r="J1121">
        <v>3</v>
      </c>
      <c r="K1121" t="s">
        <v>4</v>
      </c>
      <c r="L1121" t="s">
        <v>18</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1204</v>
      </c>
      <c r="B1122" t="s">
        <v>27</v>
      </c>
      <c r="C1122">
        <v>3</v>
      </c>
      <c r="D1122">
        <v>49.6</v>
      </c>
      <c r="E1122">
        <v>148.80000000000001</v>
      </c>
      <c r="F1122" s="1">
        <v>45702</v>
      </c>
      <c r="G1122" s="1">
        <v>45704</v>
      </c>
      <c r="H1122" t="s">
        <v>12</v>
      </c>
      <c r="I1122" t="s">
        <v>3</v>
      </c>
      <c r="J1122">
        <v>4</v>
      </c>
      <c r="K1122" t="s">
        <v>4</v>
      </c>
      <c r="L1122" t="s">
        <v>18</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1205</v>
      </c>
      <c r="B1123" t="s">
        <v>17</v>
      </c>
      <c r="C1123">
        <v>3</v>
      </c>
      <c r="D1123">
        <v>38</v>
      </c>
      <c r="E1123">
        <v>114</v>
      </c>
      <c r="F1123" s="1">
        <v>45702</v>
      </c>
      <c r="G1123" s="1">
        <v>45705</v>
      </c>
      <c r="H1123" t="s">
        <v>8</v>
      </c>
      <c r="I1123" t="s">
        <v>25</v>
      </c>
      <c r="J1123">
        <v>2</v>
      </c>
      <c r="K1123" t="s">
        <v>4</v>
      </c>
      <c r="L1123" t="s">
        <v>18</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1206</v>
      </c>
      <c r="B1124" t="s">
        <v>1</v>
      </c>
      <c r="C1124">
        <v>3</v>
      </c>
      <c r="D1124">
        <v>20.6</v>
      </c>
      <c r="E1124">
        <v>61.800000000000004</v>
      </c>
      <c r="F1124" s="1">
        <v>45702</v>
      </c>
      <c r="G1124" s="1">
        <v>45704</v>
      </c>
      <c r="H1124" t="s">
        <v>12</v>
      </c>
      <c r="I1124" t="s">
        <v>55</v>
      </c>
      <c r="J1124">
        <v>5</v>
      </c>
      <c r="K1124" t="s">
        <v>4</v>
      </c>
      <c r="L1124" t="s">
        <v>18</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1207</v>
      </c>
      <c r="B1125" t="s">
        <v>1</v>
      </c>
      <c r="C1125">
        <v>2</v>
      </c>
      <c r="D1125">
        <v>16</v>
      </c>
      <c r="E1125">
        <v>32</v>
      </c>
      <c r="F1125" s="1">
        <v>45702</v>
      </c>
      <c r="G1125" s="1">
        <v>45703</v>
      </c>
      <c r="H1125" t="s">
        <v>8</v>
      </c>
      <c r="I1125" t="s">
        <v>20</v>
      </c>
      <c r="J1125">
        <v>3</v>
      </c>
      <c r="K1125" t="s">
        <v>4</v>
      </c>
      <c r="L1125" t="s">
        <v>787</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1208</v>
      </c>
      <c r="B1126" t="s">
        <v>108</v>
      </c>
      <c r="C1126">
        <v>4</v>
      </c>
      <c r="D1126">
        <v>49.3</v>
      </c>
      <c r="E1126">
        <v>197.2</v>
      </c>
      <c r="F1126" s="1">
        <v>45702</v>
      </c>
      <c r="G1126" s="1">
        <v>45703</v>
      </c>
      <c r="H1126" t="s">
        <v>12</v>
      </c>
      <c r="I1126" t="s">
        <v>25</v>
      </c>
      <c r="J1126">
        <v>4</v>
      </c>
      <c r="K1126" t="s">
        <v>4</v>
      </c>
      <c r="L1126" t="s">
        <v>143</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1209</v>
      </c>
      <c r="B1127" t="s">
        <v>31</v>
      </c>
      <c r="C1127">
        <v>2</v>
      </c>
      <c r="D1127">
        <v>24.1</v>
      </c>
      <c r="E1127">
        <v>48.2</v>
      </c>
      <c r="F1127" s="1">
        <v>45702</v>
      </c>
      <c r="G1127" s="1">
        <v>45706</v>
      </c>
      <c r="H1127" t="s">
        <v>12</v>
      </c>
      <c r="I1127" t="s">
        <v>3</v>
      </c>
      <c r="J1127">
        <v>4</v>
      </c>
      <c r="K1127" t="s">
        <v>4</v>
      </c>
      <c r="L1127" t="s">
        <v>40</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1210</v>
      </c>
      <c r="B1128" t="s">
        <v>108</v>
      </c>
      <c r="C1128">
        <v>8</v>
      </c>
      <c r="D1128">
        <v>32.700000000000003</v>
      </c>
      <c r="E1128">
        <v>261.60000000000002</v>
      </c>
      <c r="F1128" s="1">
        <v>45702</v>
      </c>
      <c r="G1128" s="1">
        <v>45703</v>
      </c>
      <c r="H1128" t="s">
        <v>12</v>
      </c>
      <c r="I1128" t="s">
        <v>20</v>
      </c>
      <c r="J1128">
        <v>4</v>
      </c>
      <c r="K1128" t="s">
        <v>4</v>
      </c>
      <c r="L1128" t="s">
        <v>40</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1211</v>
      </c>
      <c r="B1129" t="s">
        <v>24</v>
      </c>
      <c r="C1129">
        <v>3</v>
      </c>
      <c r="D1129">
        <v>74.400000000000006</v>
      </c>
      <c r="E1129">
        <v>223.20000000000002</v>
      </c>
      <c r="F1129" s="1">
        <v>45702</v>
      </c>
      <c r="G1129" s="1">
        <v>45703</v>
      </c>
      <c r="H1129" t="s">
        <v>12</v>
      </c>
      <c r="I1129" t="s">
        <v>36</v>
      </c>
      <c r="J1129">
        <v>5</v>
      </c>
      <c r="K1129" t="s">
        <v>4</v>
      </c>
      <c r="L1129" t="s">
        <v>47</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1212</v>
      </c>
      <c r="B1130" t="s">
        <v>54</v>
      </c>
      <c r="C1130">
        <v>1</v>
      </c>
      <c r="D1130">
        <v>45.6</v>
      </c>
      <c r="E1130">
        <v>45.6</v>
      </c>
      <c r="F1130" s="1">
        <v>45702</v>
      </c>
      <c r="G1130" s="1">
        <v>45706</v>
      </c>
      <c r="H1130" t="s">
        <v>12</v>
      </c>
      <c r="I1130" t="s">
        <v>55</v>
      </c>
      <c r="J1130">
        <v>4</v>
      </c>
      <c r="K1130" t="s">
        <v>4</v>
      </c>
      <c r="L1130" t="s">
        <v>47</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1213</v>
      </c>
      <c r="B1131" t="s">
        <v>29</v>
      </c>
      <c r="C1131">
        <v>8</v>
      </c>
      <c r="D1131">
        <v>19.600000000000001</v>
      </c>
      <c r="E1131">
        <v>156.80000000000001</v>
      </c>
      <c r="F1131" s="1">
        <v>45702</v>
      </c>
      <c r="G1131" s="1">
        <v>45715</v>
      </c>
      <c r="H1131" t="s">
        <v>12</v>
      </c>
      <c r="I1131" t="s">
        <v>3</v>
      </c>
      <c r="J1131">
        <v>4</v>
      </c>
      <c r="K1131" t="s">
        <v>4</v>
      </c>
      <c r="L1131" t="s">
        <v>47</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1214</v>
      </c>
      <c r="B1132" t="s">
        <v>31</v>
      </c>
      <c r="C1132">
        <v>1</v>
      </c>
      <c r="D1132">
        <v>51.8</v>
      </c>
      <c r="E1132">
        <v>51.8</v>
      </c>
      <c r="F1132" s="1">
        <v>45702</v>
      </c>
      <c r="G1132" s="1">
        <v>45703</v>
      </c>
      <c r="H1132" t="s">
        <v>12</v>
      </c>
      <c r="I1132" t="s">
        <v>20</v>
      </c>
      <c r="J1132">
        <v>4</v>
      </c>
      <c r="K1132" t="s">
        <v>4</v>
      </c>
      <c r="L1132" t="s">
        <v>47</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1215</v>
      </c>
      <c r="B1133" t="s">
        <v>24</v>
      </c>
      <c r="C1133">
        <v>1</v>
      </c>
      <c r="D1133">
        <v>74.7</v>
      </c>
      <c r="E1133">
        <v>74.7</v>
      </c>
      <c r="F1133" s="1">
        <v>45702</v>
      </c>
      <c r="G1133" s="1">
        <v>45703</v>
      </c>
      <c r="H1133" t="s">
        <v>8</v>
      </c>
      <c r="I1133" t="s">
        <v>3</v>
      </c>
      <c r="J1133">
        <v>3</v>
      </c>
      <c r="K1133" t="s">
        <v>4</v>
      </c>
      <c r="L1133" t="s">
        <v>47</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1216</v>
      </c>
      <c r="B1134" t="s">
        <v>156</v>
      </c>
      <c r="C1134">
        <v>3</v>
      </c>
      <c r="D1134">
        <v>22.4</v>
      </c>
      <c r="E1134">
        <v>67.199999999999989</v>
      </c>
      <c r="F1134" s="1">
        <v>45702</v>
      </c>
      <c r="G1134" s="1">
        <v>45703</v>
      </c>
      <c r="H1134" t="s">
        <v>12</v>
      </c>
      <c r="I1134" t="s">
        <v>20</v>
      </c>
      <c r="J1134">
        <v>5</v>
      </c>
      <c r="K1134" t="s">
        <v>4</v>
      </c>
      <c r="L1134" t="s">
        <v>57</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1217</v>
      </c>
      <c r="B1135" t="s">
        <v>7</v>
      </c>
      <c r="C1135">
        <v>4</v>
      </c>
      <c r="D1135">
        <v>31.4</v>
      </c>
      <c r="E1135">
        <v>125.6</v>
      </c>
      <c r="F1135" s="1">
        <v>45702</v>
      </c>
      <c r="G1135" s="1">
        <v>45703</v>
      </c>
      <c r="H1135" t="s">
        <v>12</v>
      </c>
      <c r="I1135" t="s">
        <v>20</v>
      </c>
      <c r="J1135">
        <v>4</v>
      </c>
      <c r="K1135" t="s">
        <v>4</v>
      </c>
      <c r="L1135" t="s">
        <v>57</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1218</v>
      </c>
      <c r="B1136" t="s">
        <v>24</v>
      </c>
      <c r="C1136">
        <v>1</v>
      </c>
      <c r="D1136">
        <v>94</v>
      </c>
      <c r="E1136">
        <v>94</v>
      </c>
      <c r="F1136" s="1">
        <v>45702</v>
      </c>
      <c r="G1136" s="1">
        <v>45702</v>
      </c>
      <c r="H1136" t="s">
        <v>12</v>
      </c>
      <c r="I1136" t="s">
        <v>20</v>
      </c>
      <c r="J1136">
        <v>5</v>
      </c>
      <c r="K1136" t="s">
        <v>4</v>
      </c>
      <c r="L1136" t="s">
        <v>59</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1219</v>
      </c>
      <c r="B1137" t="s">
        <v>39</v>
      </c>
      <c r="C1137">
        <v>1</v>
      </c>
      <c r="D1137">
        <v>22.3</v>
      </c>
      <c r="E1137">
        <v>22.3</v>
      </c>
      <c r="F1137" s="1">
        <v>45702</v>
      </c>
      <c r="G1137" s="1">
        <v>45703</v>
      </c>
      <c r="H1137" t="s">
        <v>8</v>
      </c>
      <c r="I1137" t="s">
        <v>55</v>
      </c>
      <c r="J1137">
        <v>4</v>
      </c>
      <c r="K1137" t="s">
        <v>4</v>
      </c>
      <c r="L1137" t="s">
        <v>98</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1220</v>
      </c>
      <c r="B1138" t="s">
        <v>1</v>
      </c>
      <c r="C1138">
        <v>1</v>
      </c>
      <c r="D1138">
        <v>21.9</v>
      </c>
      <c r="E1138">
        <v>21.9</v>
      </c>
      <c r="F1138" s="1">
        <v>45702</v>
      </c>
      <c r="G1138" s="1">
        <v>45705</v>
      </c>
      <c r="H1138" t="s">
        <v>12</v>
      </c>
      <c r="I1138" t="s">
        <v>25</v>
      </c>
      <c r="J1138">
        <v>4</v>
      </c>
      <c r="K1138" t="s">
        <v>4</v>
      </c>
      <c r="L1138" t="s">
        <v>100</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1221</v>
      </c>
      <c r="B1139" t="s">
        <v>120</v>
      </c>
      <c r="C1139">
        <v>3</v>
      </c>
      <c r="D1139">
        <v>27</v>
      </c>
      <c r="E1139">
        <v>81</v>
      </c>
      <c r="F1139" s="1">
        <v>45702</v>
      </c>
      <c r="G1139" s="1">
        <v>45704</v>
      </c>
      <c r="H1139" t="s">
        <v>12</v>
      </c>
      <c r="I1139" t="s">
        <v>55</v>
      </c>
      <c r="J1139">
        <v>5</v>
      </c>
      <c r="K1139" t="s">
        <v>4</v>
      </c>
      <c r="L1139" t="s">
        <v>13</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1222</v>
      </c>
      <c r="B1140" t="s">
        <v>11</v>
      </c>
      <c r="C1140">
        <v>4</v>
      </c>
      <c r="D1140">
        <v>149.6</v>
      </c>
      <c r="E1140">
        <v>598.4</v>
      </c>
      <c r="F1140" s="1">
        <v>45702</v>
      </c>
      <c r="G1140" s="1">
        <v>45702</v>
      </c>
      <c r="H1140" t="s">
        <v>12</v>
      </c>
      <c r="I1140" t="s">
        <v>55</v>
      </c>
      <c r="J1140">
        <v>4</v>
      </c>
      <c r="K1140" t="s">
        <v>4</v>
      </c>
      <c r="L1140" t="s">
        <v>132</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1223</v>
      </c>
      <c r="B1141" t="s">
        <v>11</v>
      </c>
      <c r="C1141">
        <v>4</v>
      </c>
      <c r="D1141">
        <v>129.1</v>
      </c>
      <c r="E1141">
        <v>516.4</v>
      </c>
      <c r="F1141" s="1">
        <v>45702</v>
      </c>
      <c r="G1141" s="1">
        <v>45712</v>
      </c>
      <c r="H1141" t="s">
        <v>8</v>
      </c>
      <c r="I1141" t="s">
        <v>3</v>
      </c>
      <c r="J1141">
        <v>3</v>
      </c>
      <c r="K1141" t="s">
        <v>4</v>
      </c>
      <c r="L1141" t="s">
        <v>18</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1224</v>
      </c>
      <c r="B1142" t="s">
        <v>7</v>
      </c>
      <c r="C1142">
        <v>12</v>
      </c>
      <c r="D1142">
        <v>40.4</v>
      </c>
      <c r="E1142">
        <v>484.79999999999995</v>
      </c>
      <c r="F1142" s="1">
        <v>45702</v>
      </c>
      <c r="G1142" s="1">
        <v>45703</v>
      </c>
      <c r="H1142" t="s">
        <v>8</v>
      </c>
      <c r="I1142" t="s">
        <v>20</v>
      </c>
      <c r="J1142">
        <v>3</v>
      </c>
      <c r="K1142" t="s">
        <v>4</v>
      </c>
      <c r="L1142" t="s">
        <v>18</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1225</v>
      </c>
      <c r="B1143" t="s">
        <v>17</v>
      </c>
      <c r="C1143">
        <v>3</v>
      </c>
      <c r="D1143">
        <v>48.5</v>
      </c>
      <c r="E1143">
        <v>145.5</v>
      </c>
      <c r="F1143" s="1">
        <v>45702</v>
      </c>
      <c r="G1143" s="1">
        <v>45704</v>
      </c>
      <c r="H1143" t="s">
        <v>12</v>
      </c>
      <c r="I1143" t="s">
        <v>3</v>
      </c>
      <c r="J1143">
        <v>2</v>
      </c>
      <c r="K1143" t="s">
        <v>4</v>
      </c>
      <c r="L1143" t="s">
        <v>18</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1226</v>
      </c>
      <c r="B1144" t="s">
        <v>31</v>
      </c>
      <c r="C1144">
        <v>2</v>
      </c>
      <c r="D1144">
        <v>37.6</v>
      </c>
      <c r="E1144">
        <v>75.2</v>
      </c>
      <c r="F1144" s="1">
        <v>45702</v>
      </c>
      <c r="G1144" s="1">
        <v>45704</v>
      </c>
      <c r="H1144" t="s">
        <v>12</v>
      </c>
      <c r="I1144" t="s">
        <v>20</v>
      </c>
      <c r="J1144">
        <v>5</v>
      </c>
      <c r="K1144" t="s">
        <v>4</v>
      </c>
      <c r="L1144" t="s">
        <v>18</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1227</v>
      </c>
      <c r="B1145" t="s">
        <v>29</v>
      </c>
      <c r="C1145">
        <v>2</v>
      </c>
      <c r="D1145">
        <v>19.600000000000001</v>
      </c>
      <c r="E1145">
        <v>39.200000000000003</v>
      </c>
      <c r="F1145" s="1">
        <v>45702</v>
      </c>
      <c r="G1145" s="1">
        <v>45703</v>
      </c>
      <c r="H1145" t="s">
        <v>8</v>
      </c>
      <c r="I1145" t="s">
        <v>36</v>
      </c>
      <c r="J1145">
        <v>2</v>
      </c>
      <c r="K1145" t="s">
        <v>4</v>
      </c>
      <c r="L1145" t="s">
        <v>530</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1228</v>
      </c>
      <c r="B1146" t="s">
        <v>29</v>
      </c>
      <c r="C1146">
        <v>5</v>
      </c>
      <c r="D1146">
        <v>18.5</v>
      </c>
      <c r="E1146">
        <v>92.5</v>
      </c>
      <c r="F1146" s="1">
        <v>45702</v>
      </c>
      <c r="G1146" s="1">
        <v>45703</v>
      </c>
      <c r="H1146" t="s">
        <v>12</v>
      </c>
      <c r="I1146" t="s">
        <v>25</v>
      </c>
      <c r="J1146">
        <v>3</v>
      </c>
      <c r="K1146" t="s">
        <v>4</v>
      </c>
      <c r="L1146" t="s">
        <v>40</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1229</v>
      </c>
      <c r="B1147" t="s">
        <v>22</v>
      </c>
      <c r="C1147">
        <v>3</v>
      </c>
      <c r="D1147">
        <v>25.5</v>
      </c>
      <c r="E1147">
        <v>76.5</v>
      </c>
      <c r="F1147" s="1">
        <v>45702</v>
      </c>
      <c r="G1147" s="1">
        <v>45704</v>
      </c>
      <c r="H1147" t="s">
        <v>12</v>
      </c>
      <c r="I1147" t="s">
        <v>55</v>
      </c>
      <c r="J1147">
        <v>3</v>
      </c>
      <c r="K1147" t="s">
        <v>4</v>
      </c>
      <c r="L1147" t="s">
        <v>40</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1230</v>
      </c>
      <c r="B1148" t="s">
        <v>11</v>
      </c>
      <c r="C1148">
        <v>2</v>
      </c>
      <c r="D1148">
        <v>94.7</v>
      </c>
      <c r="E1148">
        <v>189.4</v>
      </c>
      <c r="F1148" s="1">
        <v>45702</v>
      </c>
      <c r="G1148" s="1">
        <v>45703</v>
      </c>
      <c r="H1148" t="s">
        <v>12</v>
      </c>
      <c r="I1148" t="s">
        <v>25</v>
      </c>
      <c r="J1148">
        <v>4</v>
      </c>
      <c r="K1148" t="s">
        <v>4</v>
      </c>
      <c r="L1148" t="s">
        <v>327</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1231</v>
      </c>
      <c r="B1149" t="s">
        <v>7</v>
      </c>
      <c r="C1149">
        <v>6</v>
      </c>
      <c r="D1149">
        <v>38.799999999999997</v>
      </c>
      <c r="E1149">
        <v>232.79999999999998</v>
      </c>
      <c r="F1149" s="1">
        <v>45702</v>
      </c>
      <c r="G1149" s="1">
        <v>45707</v>
      </c>
      <c r="H1149" t="s">
        <v>12</v>
      </c>
      <c r="I1149" t="s">
        <v>25</v>
      </c>
      <c r="J1149">
        <v>5</v>
      </c>
      <c r="K1149" t="s">
        <v>4</v>
      </c>
      <c r="L1149" t="s">
        <v>47</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1232</v>
      </c>
      <c r="B1150" t="s">
        <v>31</v>
      </c>
      <c r="C1150">
        <v>2</v>
      </c>
      <c r="D1150">
        <v>49.4</v>
      </c>
      <c r="E1150">
        <v>98.8</v>
      </c>
      <c r="F1150" s="1">
        <v>45703</v>
      </c>
      <c r="G1150" s="1">
        <v>45711</v>
      </c>
      <c r="H1150" t="s">
        <v>8</v>
      </c>
      <c r="I1150" t="s">
        <v>55</v>
      </c>
      <c r="J1150">
        <v>3</v>
      </c>
      <c r="K1150" t="s">
        <v>4</v>
      </c>
      <c r="L1150" t="s">
        <v>47</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1233</v>
      </c>
      <c r="B1151" t="s">
        <v>27</v>
      </c>
      <c r="C1151">
        <v>3</v>
      </c>
      <c r="D1151">
        <v>68</v>
      </c>
      <c r="E1151">
        <v>204</v>
      </c>
      <c r="F1151" s="1">
        <v>45703</v>
      </c>
      <c r="G1151" s="1">
        <v>45706</v>
      </c>
      <c r="H1151" t="s">
        <v>8</v>
      </c>
      <c r="I1151" t="s">
        <v>3</v>
      </c>
      <c r="J1151">
        <v>5</v>
      </c>
      <c r="K1151" t="s">
        <v>4</v>
      </c>
      <c r="L1151" t="s">
        <v>47</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1234</v>
      </c>
      <c r="B1152" t="s">
        <v>108</v>
      </c>
      <c r="C1152">
        <v>7</v>
      </c>
      <c r="D1152">
        <v>63.7</v>
      </c>
      <c r="E1152">
        <v>445.90000000000003</v>
      </c>
      <c r="F1152" s="1">
        <v>45703</v>
      </c>
      <c r="G1152" s="1">
        <v>45704</v>
      </c>
      <c r="H1152" t="s">
        <v>12</v>
      </c>
      <c r="I1152" t="s">
        <v>25</v>
      </c>
      <c r="J1152">
        <v>5</v>
      </c>
      <c r="K1152" t="s">
        <v>4</v>
      </c>
      <c r="L1152" t="s">
        <v>47</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1235</v>
      </c>
      <c r="B1153" t="s">
        <v>39</v>
      </c>
      <c r="C1153">
        <v>2</v>
      </c>
      <c r="D1153">
        <v>66.2</v>
      </c>
      <c r="E1153">
        <v>132.4</v>
      </c>
      <c r="F1153" s="1">
        <v>45703</v>
      </c>
      <c r="G1153" s="1">
        <v>45704</v>
      </c>
      <c r="H1153" t="s">
        <v>12</v>
      </c>
      <c r="I1153" t="s">
        <v>55</v>
      </c>
      <c r="J1153">
        <v>5</v>
      </c>
      <c r="K1153" t="s">
        <v>4</v>
      </c>
      <c r="L1153" t="s">
        <v>88</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1236</v>
      </c>
      <c r="B1154" t="s">
        <v>54</v>
      </c>
      <c r="C1154">
        <v>3</v>
      </c>
      <c r="D1154">
        <v>32.299999999999997</v>
      </c>
      <c r="E1154">
        <v>96.899999999999991</v>
      </c>
      <c r="F1154" s="1">
        <v>45703</v>
      </c>
      <c r="G1154" s="1">
        <v>45704</v>
      </c>
      <c r="H1154" t="s">
        <v>74</v>
      </c>
      <c r="I1154" t="s">
        <v>25</v>
      </c>
      <c r="J1154">
        <v>3</v>
      </c>
      <c r="K1154" t="s">
        <v>4</v>
      </c>
      <c r="L1154" t="s">
        <v>57</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1237</v>
      </c>
      <c r="B1155" t="s">
        <v>17</v>
      </c>
      <c r="C1155">
        <v>2</v>
      </c>
      <c r="D1155">
        <v>66.900000000000006</v>
      </c>
      <c r="E1155">
        <v>133.80000000000001</v>
      </c>
      <c r="F1155" s="1">
        <v>45703</v>
      </c>
      <c r="G1155" s="1">
        <v>45706</v>
      </c>
      <c r="H1155" t="s">
        <v>8</v>
      </c>
      <c r="I1155" t="s">
        <v>20</v>
      </c>
      <c r="J1155">
        <v>4</v>
      </c>
      <c r="K1155" t="s">
        <v>4</v>
      </c>
      <c r="L1155" t="s">
        <v>62</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1238</v>
      </c>
      <c r="B1156" t="s">
        <v>17</v>
      </c>
      <c r="C1156">
        <v>12</v>
      </c>
      <c r="D1156">
        <v>25.2</v>
      </c>
      <c r="E1156">
        <v>302.39999999999998</v>
      </c>
      <c r="F1156" s="1">
        <v>45703</v>
      </c>
      <c r="G1156" s="1">
        <v>45707</v>
      </c>
      <c r="H1156" t="s">
        <v>12</v>
      </c>
      <c r="I1156" t="s">
        <v>3</v>
      </c>
      <c r="J1156">
        <v>3</v>
      </c>
      <c r="K1156" t="s">
        <v>4</v>
      </c>
      <c r="L1156" t="s">
        <v>62</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1239</v>
      </c>
      <c r="B1157" t="s">
        <v>39</v>
      </c>
      <c r="C1157">
        <v>6</v>
      </c>
      <c r="D1157">
        <v>29.5</v>
      </c>
      <c r="E1157">
        <v>177</v>
      </c>
      <c r="F1157" s="1">
        <v>45703</v>
      </c>
      <c r="G1157" s="1">
        <v>45704</v>
      </c>
      <c r="H1157" t="s">
        <v>8</v>
      </c>
      <c r="I1157" t="s">
        <v>25</v>
      </c>
      <c r="J1157">
        <v>4</v>
      </c>
      <c r="K1157" t="s">
        <v>4</v>
      </c>
      <c r="L1157" t="s">
        <v>62</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1240</v>
      </c>
      <c r="B1158" t="s">
        <v>29</v>
      </c>
      <c r="C1158">
        <v>5</v>
      </c>
      <c r="D1158">
        <v>21.6</v>
      </c>
      <c r="E1158">
        <v>108</v>
      </c>
      <c r="F1158" s="1">
        <v>45703</v>
      </c>
      <c r="G1158" s="1">
        <v>45705</v>
      </c>
      <c r="H1158" t="s">
        <v>12</v>
      </c>
      <c r="I1158" t="s">
        <v>3</v>
      </c>
      <c r="J1158">
        <v>5</v>
      </c>
      <c r="K1158" t="s">
        <v>4</v>
      </c>
      <c r="L1158" t="s">
        <v>294</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1241</v>
      </c>
      <c r="B1159" t="s">
        <v>54</v>
      </c>
      <c r="C1159">
        <v>3</v>
      </c>
      <c r="D1159">
        <v>69</v>
      </c>
      <c r="E1159">
        <v>207</v>
      </c>
      <c r="F1159" s="1">
        <v>45703</v>
      </c>
      <c r="G1159" s="1">
        <v>45704</v>
      </c>
      <c r="H1159" t="s">
        <v>12</v>
      </c>
      <c r="I1159" t="s">
        <v>3</v>
      </c>
      <c r="J1159">
        <v>4</v>
      </c>
      <c r="K1159" t="s">
        <v>4</v>
      </c>
      <c r="L1159" t="s">
        <v>93</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1242</v>
      </c>
      <c r="B1160" t="s">
        <v>27</v>
      </c>
      <c r="C1160">
        <v>2</v>
      </c>
      <c r="D1160">
        <v>115</v>
      </c>
      <c r="E1160">
        <v>230</v>
      </c>
      <c r="F1160" s="1">
        <v>45703</v>
      </c>
      <c r="G1160" s="1">
        <v>45707</v>
      </c>
      <c r="H1160" t="s">
        <v>8</v>
      </c>
      <c r="I1160" t="s">
        <v>3</v>
      </c>
      <c r="J1160">
        <v>5</v>
      </c>
      <c r="K1160" t="s">
        <v>4</v>
      </c>
      <c r="L1160" t="s">
        <v>93</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1243</v>
      </c>
      <c r="B1161" t="s">
        <v>11</v>
      </c>
      <c r="C1161">
        <v>2</v>
      </c>
      <c r="D1161">
        <v>109.3</v>
      </c>
      <c r="E1161">
        <v>218.6</v>
      </c>
      <c r="F1161" s="1">
        <v>45703</v>
      </c>
      <c r="G1161" s="1">
        <v>45705</v>
      </c>
      <c r="H1161" t="s">
        <v>2</v>
      </c>
      <c r="I1161" t="s">
        <v>36</v>
      </c>
      <c r="J1161">
        <v>3</v>
      </c>
      <c r="K1161" t="s">
        <v>4</v>
      </c>
      <c r="L1161" t="s">
        <v>95</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1244</v>
      </c>
      <c r="B1162" t="s">
        <v>31</v>
      </c>
      <c r="C1162">
        <v>2</v>
      </c>
      <c r="D1162">
        <v>66.599999999999994</v>
      </c>
      <c r="E1162">
        <v>133.19999999999999</v>
      </c>
      <c r="F1162" s="1">
        <v>45703</v>
      </c>
      <c r="G1162" s="1">
        <v>45706</v>
      </c>
      <c r="H1162" t="s">
        <v>2</v>
      </c>
      <c r="I1162" t="s">
        <v>55</v>
      </c>
      <c r="J1162">
        <v>3</v>
      </c>
      <c r="K1162" t="s">
        <v>4</v>
      </c>
      <c r="L1162" t="s">
        <v>95</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1245</v>
      </c>
      <c r="B1163" t="s">
        <v>54</v>
      </c>
      <c r="C1163">
        <v>5</v>
      </c>
      <c r="D1163">
        <v>47.7</v>
      </c>
      <c r="E1163">
        <v>238.5</v>
      </c>
      <c r="F1163" s="1">
        <v>45703</v>
      </c>
      <c r="G1163" s="1">
        <v>45704</v>
      </c>
      <c r="H1163" t="s">
        <v>8</v>
      </c>
      <c r="I1163" t="s">
        <v>36</v>
      </c>
      <c r="J1163">
        <v>5</v>
      </c>
      <c r="K1163" t="s">
        <v>4</v>
      </c>
      <c r="L1163" t="s">
        <v>100</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1246</v>
      </c>
      <c r="B1164" t="s">
        <v>29</v>
      </c>
      <c r="C1164">
        <v>2</v>
      </c>
      <c r="D1164">
        <v>46</v>
      </c>
      <c r="E1164">
        <v>92</v>
      </c>
      <c r="F1164" s="1">
        <v>45703</v>
      </c>
      <c r="G1164" s="1">
        <v>45704</v>
      </c>
      <c r="H1164" t="s">
        <v>12</v>
      </c>
      <c r="I1164" t="s">
        <v>55</v>
      </c>
      <c r="J1164">
        <v>2</v>
      </c>
      <c r="K1164" t="s">
        <v>4</v>
      </c>
      <c r="L1164" t="s">
        <v>132</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1247</v>
      </c>
      <c r="B1165" t="s">
        <v>7</v>
      </c>
      <c r="C1165">
        <v>6</v>
      </c>
      <c r="D1165">
        <v>39.299999999999997</v>
      </c>
      <c r="E1165">
        <v>235.79999999999998</v>
      </c>
      <c r="F1165" s="1">
        <v>45703</v>
      </c>
      <c r="G1165" s="1">
        <v>45705</v>
      </c>
      <c r="H1165" t="s">
        <v>8</v>
      </c>
      <c r="I1165" t="s">
        <v>36</v>
      </c>
      <c r="J1165">
        <v>5</v>
      </c>
      <c r="K1165" t="s">
        <v>4</v>
      </c>
      <c r="L1165" t="s">
        <v>18</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1248</v>
      </c>
      <c r="B1166" t="s">
        <v>31</v>
      </c>
      <c r="C1166">
        <v>1</v>
      </c>
      <c r="D1166">
        <v>70.2</v>
      </c>
      <c r="E1166">
        <v>70.2</v>
      </c>
      <c r="F1166" s="1">
        <v>45703</v>
      </c>
      <c r="G1166" s="1">
        <v>45704</v>
      </c>
      <c r="H1166" t="s">
        <v>12</v>
      </c>
      <c r="I1166" t="s">
        <v>3</v>
      </c>
      <c r="J1166">
        <v>2</v>
      </c>
      <c r="K1166" t="s">
        <v>4</v>
      </c>
      <c r="L1166" t="s">
        <v>18</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1249</v>
      </c>
      <c r="B1167" t="s">
        <v>15</v>
      </c>
      <c r="C1167">
        <v>4</v>
      </c>
      <c r="D1167">
        <v>71.5</v>
      </c>
      <c r="E1167">
        <v>286</v>
      </c>
      <c r="F1167" s="1">
        <v>45703</v>
      </c>
      <c r="G1167" s="1">
        <v>45703</v>
      </c>
      <c r="H1167" t="s">
        <v>12</v>
      </c>
      <c r="I1167" t="s">
        <v>20</v>
      </c>
      <c r="J1167">
        <v>5</v>
      </c>
      <c r="K1167" t="s">
        <v>4</v>
      </c>
      <c r="L1167" t="s">
        <v>18</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1250</v>
      </c>
      <c r="B1168" t="s">
        <v>39</v>
      </c>
      <c r="C1168">
        <v>7</v>
      </c>
      <c r="D1168">
        <v>31</v>
      </c>
      <c r="E1168">
        <v>217</v>
      </c>
      <c r="F1168" s="1">
        <v>45703</v>
      </c>
      <c r="G1168" s="1">
        <v>45710</v>
      </c>
      <c r="H1168" t="s">
        <v>12</v>
      </c>
      <c r="I1168" t="s">
        <v>36</v>
      </c>
      <c r="J1168">
        <v>5</v>
      </c>
      <c r="K1168" t="s">
        <v>4</v>
      </c>
      <c r="L1168" t="s">
        <v>18</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1251</v>
      </c>
      <c r="B1169" t="s">
        <v>11</v>
      </c>
      <c r="C1169">
        <v>5</v>
      </c>
      <c r="D1169">
        <v>68.2</v>
      </c>
      <c r="E1169">
        <v>341</v>
      </c>
      <c r="F1169" s="1">
        <v>45703</v>
      </c>
      <c r="G1169" s="1">
        <v>45708</v>
      </c>
      <c r="H1169" t="s">
        <v>12</v>
      </c>
      <c r="I1169" t="s">
        <v>3</v>
      </c>
      <c r="J1169">
        <v>5</v>
      </c>
      <c r="K1169" t="s">
        <v>4</v>
      </c>
      <c r="L1169" t="s">
        <v>18</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1252</v>
      </c>
      <c r="B1170" t="s">
        <v>11</v>
      </c>
      <c r="C1170">
        <v>1</v>
      </c>
      <c r="D1170">
        <v>91.4</v>
      </c>
      <c r="E1170">
        <v>91.4</v>
      </c>
      <c r="F1170" s="1">
        <v>45703</v>
      </c>
      <c r="G1170" s="1">
        <v>45707</v>
      </c>
      <c r="H1170" t="s">
        <v>12</v>
      </c>
      <c r="I1170" t="s">
        <v>20</v>
      </c>
      <c r="J1170">
        <v>5</v>
      </c>
      <c r="K1170" t="s">
        <v>4</v>
      </c>
      <c r="L1170" t="s">
        <v>40</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1253</v>
      </c>
      <c r="B1171" t="s">
        <v>24</v>
      </c>
      <c r="C1171">
        <v>10</v>
      </c>
      <c r="D1171">
        <v>112.9</v>
      </c>
      <c r="E1171">
        <v>1129</v>
      </c>
      <c r="F1171" s="1">
        <v>45703</v>
      </c>
      <c r="G1171" s="1">
        <v>45704</v>
      </c>
      <c r="H1171" t="s">
        <v>12</v>
      </c>
      <c r="I1171" t="s">
        <v>3</v>
      </c>
      <c r="J1171">
        <v>4</v>
      </c>
      <c r="K1171" t="s">
        <v>4</v>
      </c>
      <c r="L1171" t="s">
        <v>40</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1254</v>
      </c>
      <c r="B1172" t="s">
        <v>120</v>
      </c>
      <c r="C1172">
        <v>9</v>
      </c>
      <c r="D1172">
        <v>33.700000000000003</v>
      </c>
      <c r="E1172">
        <v>303.3</v>
      </c>
      <c r="F1172" s="1">
        <v>45703</v>
      </c>
      <c r="G1172" s="1">
        <v>45704</v>
      </c>
      <c r="H1172" t="s">
        <v>12</v>
      </c>
      <c r="I1172" t="s">
        <v>20</v>
      </c>
      <c r="J1172">
        <v>5</v>
      </c>
      <c r="K1172" t="s">
        <v>4</v>
      </c>
      <c r="L1172" t="s">
        <v>47</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1255</v>
      </c>
      <c r="B1173" t="s">
        <v>108</v>
      </c>
      <c r="C1173">
        <v>10</v>
      </c>
      <c r="D1173">
        <v>35.299999999999997</v>
      </c>
      <c r="E1173">
        <v>353</v>
      </c>
      <c r="F1173" s="1">
        <v>45703</v>
      </c>
      <c r="G1173" s="1">
        <v>45705</v>
      </c>
      <c r="H1173" t="s">
        <v>8</v>
      </c>
      <c r="I1173" t="s">
        <v>25</v>
      </c>
      <c r="J1173">
        <v>4</v>
      </c>
      <c r="K1173" t="s">
        <v>4</v>
      </c>
      <c r="L1173" t="s">
        <v>47</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1256</v>
      </c>
      <c r="B1174" t="s">
        <v>131</v>
      </c>
      <c r="C1174">
        <v>3</v>
      </c>
      <c r="D1174">
        <v>45.6</v>
      </c>
      <c r="E1174">
        <v>136.80000000000001</v>
      </c>
      <c r="F1174" s="1">
        <v>45703</v>
      </c>
      <c r="G1174" s="1">
        <v>45707</v>
      </c>
      <c r="H1174" t="s">
        <v>8</v>
      </c>
      <c r="I1174" t="s">
        <v>36</v>
      </c>
      <c r="J1174">
        <v>4</v>
      </c>
      <c r="K1174" t="s">
        <v>4</v>
      </c>
      <c r="L1174" t="s">
        <v>47</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1257</v>
      </c>
      <c r="B1175" t="s">
        <v>27</v>
      </c>
      <c r="C1175">
        <v>7</v>
      </c>
      <c r="D1175">
        <v>47.1</v>
      </c>
      <c r="E1175">
        <v>329.7</v>
      </c>
      <c r="F1175" s="1">
        <v>45703</v>
      </c>
      <c r="G1175" s="1">
        <v>45704</v>
      </c>
      <c r="H1175" t="s">
        <v>12</v>
      </c>
      <c r="I1175" t="s">
        <v>55</v>
      </c>
      <c r="J1175">
        <v>5</v>
      </c>
      <c r="K1175" t="s">
        <v>4</v>
      </c>
      <c r="L1175" t="s">
        <v>57</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1258</v>
      </c>
      <c r="B1176" t="s">
        <v>29</v>
      </c>
      <c r="C1176">
        <v>5</v>
      </c>
      <c r="D1176">
        <v>16.2</v>
      </c>
      <c r="E1176">
        <v>81</v>
      </c>
      <c r="F1176" s="1">
        <v>45703</v>
      </c>
      <c r="G1176" s="1">
        <v>45705</v>
      </c>
      <c r="H1176" t="s">
        <v>12</v>
      </c>
      <c r="I1176" t="s">
        <v>36</v>
      </c>
      <c r="J1176">
        <v>5</v>
      </c>
      <c r="K1176" t="s">
        <v>4</v>
      </c>
      <c r="L1176" t="s">
        <v>95</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1259</v>
      </c>
      <c r="B1177" t="s">
        <v>7</v>
      </c>
      <c r="C1177">
        <v>2</v>
      </c>
      <c r="D1177">
        <v>159.69999999999999</v>
      </c>
      <c r="E1177">
        <v>319.39999999999998</v>
      </c>
      <c r="F1177" s="1">
        <v>45704</v>
      </c>
      <c r="G1177" s="1">
        <v>45705</v>
      </c>
      <c r="H1177" t="s">
        <v>8</v>
      </c>
      <c r="I1177" t="s">
        <v>55</v>
      </c>
      <c r="J1177">
        <v>4</v>
      </c>
      <c r="K1177" t="s">
        <v>4</v>
      </c>
      <c r="L1177" t="s">
        <v>67</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1260</v>
      </c>
      <c r="B1178" t="s">
        <v>29</v>
      </c>
      <c r="C1178">
        <v>4</v>
      </c>
      <c r="D1178">
        <v>19</v>
      </c>
      <c r="E1178">
        <v>76</v>
      </c>
      <c r="F1178" s="1">
        <v>45704</v>
      </c>
      <c r="G1178" s="1">
        <v>45711</v>
      </c>
      <c r="H1178" t="s">
        <v>12</v>
      </c>
      <c r="I1178" t="s">
        <v>25</v>
      </c>
      <c r="J1178">
        <v>5</v>
      </c>
      <c r="K1178" t="s">
        <v>4</v>
      </c>
      <c r="L1178" t="s">
        <v>100</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1261</v>
      </c>
      <c r="B1179" t="s">
        <v>24</v>
      </c>
      <c r="C1179">
        <v>6</v>
      </c>
      <c r="D1179">
        <v>91.1</v>
      </c>
      <c r="E1179">
        <v>546.59999999999991</v>
      </c>
      <c r="F1179" s="1">
        <v>45704</v>
      </c>
      <c r="G1179" s="1">
        <v>45713</v>
      </c>
      <c r="H1179" t="s">
        <v>12</v>
      </c>
      <c r="I1179" t="s">
        <v>55</v>
      </c>
      <c r="J1179">
        <v>4</v>
      </c>
      <c r="K1179" t="s">
        <v>4</v>
      </c>
      <c r="L1179" t="s">
        <v>100</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1262</v>
      </c>
      <c r="B1180" t="s">
        <v>11</v>
      </c>
      <c r="C1180">
        <v>5</v>
      </c>
      <c r="D1180">
        <v>94.1</v>
      </c>
      <c r="E1180">
        <v>470.5</v>
      </c>
      <c r="F1180" s="1">
        <v>45704</v>
      </c>
      <c r="G1180" s="1">
        <v>45707</v>
      </c>
      <c r="H1180" t="s">
        <v>2</v>
      </c>
      <c r="I1180" t="s">
        <v>20</v>
      </c>
      <c r="J1180">
        <v>3</v>
      </c>
      <c r="K1180" t="s">
        <v>4</v>
      </c>
      <c r="L1180" t="s">
        <v>100</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1263</v>
      </c>
      <c r="B1181" t="s">
        <v>31</v>
      </c>
      <c r="C1181">
        <v>9</v>
      </c>
      <c r="D1181">
        <v>21.1</v>
      </c>
      <c r="E1181">
        <v>189.9</v>
      </c>
      <c r="F1181" s="1">
        <v>45704</v>
      </c>
      <c r="G1181" s="1">
        <v>45705</v>
      </c>
      <c r="H1181" t="s">
        <v>12</v>
      </c>
      <c r="I1181" t="s">
        <v>55</v>
      </c>
      <c r="J1181">
        <v>5</v>
      </c>
      <c r="K1181" t="s">
        <v>4</v>
      </c>
      <c r="L1181" t="s">
        <v>952</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1264</v>
      </c>
      <c r="B1182" t="s">
        <v>29</v>
      </c>
      <c r="C1182">
        <v>7</v>
      </c>
      <c r="D1182">
        <v>15.3</v>
      </c>
      <c r="E1182">
        <v>107.10000000000001</v>
      </c>
      <c r="F1182" s="1">
        <v>45704</v>
      </c>
      <c r="G1182" s="1">
        <v>45712</v>
      </c>
      <c r="H1182" t="s">
        <v>12</v>
      </c>
      <c r="I1182" t="s">
        <v>25</v>
      </c>
      <c r="J1182">
        <v>4</v>
      </c>
      <c r="K1182" t="s">
        <v>4</v>
      </c>
      <c r="L1182" t="s">
        <v>9</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1265</v>
      </c>
      <c r="B1183" t="s">
        <v>108</v>
      </c>
      <c r="C1183">
        <v>4</v>
      </c>
      <c r="D1183">
        <v>21.3</v>
      </c>
      <c r="E1183">
        <v>85.2</v>
      </c>
      <c r="F1183" s="1">
        <v>45704</v>
      </c>
      <c r="G1183" s="1">
        <v>45707</v>
      </c>
      <c r="H1183" t="s">
        <v>8</v>
      </c>
      <c r="I1183" t="s">
        <v>20</v>
      </c>
      <c r="J1183">
        <v>4</v>
      </c>
      <c r="K1183" t="s">
        <v>4</v>
      </c>
      <c r="L1183" t="s">
        <v>18</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1266</v>
      </c>
      <c r="B1184" t="s">
        <v>1</v>
      </c>
      <c r="C1184">
        <v>2</v>
      </c>
      <c r="D1184">
        <v>23.2</v>
      </c>
      <c r="E1184">
        <v>46.4</v>
      </c>
      <c r="F1184" s="1">
        <v>45704</v>
      </c>
      <c r="G1184" s="1">
        <v>45704</v>
      </c>
      <c r="H1184" t="s">
        <v>2</v>
      </c>
      <c r="I1184" t="s">
        <v>36</v>
      </c>
      <c r="J1184">
        <v>3</v>
      </c>
      <c r="K1184" t="s">
        <v>4</v>
      </c>
      <c r="L1184" t="s">
        <v>18</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1267</v>
      </c>
      <c r="B1185" t="s">
        <v>17</v>
      </c>
      <c r="C1185">
        <v>3</v>
      </c>
      <c r="D1185">
        <v>25.7</v>
      </c>
      <c r="E1185">
        <v>77.099999999999994</v>
      </c>
      <c r="F1185" s="1">
        <v>45704</v>
      </c>
      <c r="G1185" s="1">
        <v>45705</v>
      </c>
      <c r="H1185" t="s">
        <v>8</v>
      </c>
      <c r="I1185" t="s">
        <v>55</v>
      </c>
      <c r="J1185">
        <v>4</v>
      </c>
      <c r="K1185" t="s">
        <v>4</v>
      </c>
      <c r="L1185" t="s">
        <v>18</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1268</v>
      </c>
      <c r="B1186" t="s">
        <v>1</v>
      </c>
      <c r="C1186">
        <v>9</v>
      </c>
      <c r="D1186">
        <v>31.6</v>
      </c>
      <c r="E1186">
        <v>284.40000000000003</v>
      </c>
      <c r="F1186" s="1">
        <v>45704</v>
      </c>
      <c r="G1186" s="1">
        <v>45706</v>
      </c>
      <c r="H1186" t="s">
        <v>12</v>
      </c>
      <c r="I1186" t="s">
        <v>3</v>
      </c>
      <c r="J1186">
        <v>4</v>
      </c>
      <c r="K1186" t="s">
        <v>4</v>
      </c>
      <c r="L1186" t="s">
        <v>18</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1269</v>
      </c>
      <c r="B1187" t="s">
        <v>24</v>
      </c>
      <c r="C1187">
        <v>1</v>
      </c>
      <c r="D1187">
        <v>64.2</v>
      </c>
      <c r="E1187">
        <v>64.2</v>
      </c>
      <c r="F1187" s="1">
        <v>45704</v>
      </c>
      <c r="G1187" s="1">
        <v>45709</v>
      </c>
      <c r="H1187" t="s">
        <v>8</v>
      </c>
      <c r="I1187" t="s">
        <v>3</v>
      </c>
      <c r="J1187">
        <v>4</v>
      </c>
      <c r="K1187" t="s">
        <v>4</v>
      </c>
      <c r="L1187" t="s">
        <v>18</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1270</v>
      </c>
      <c r="B1188" t="s">
        <v>29</v>
      </c>
      <c r="C1188">
        <v>2</v>
      </c>
      <c r="D1188">
        <v>55.8</v>
      </c>
      <c r="E1188">
        <v>111.6</v>
      </c>
      <c r="F1188" s="1">
        <v>45704</v>
      </c>
      <c r="G1188" s="1">
        <v>45706</v>
      </c>
      <c r="H1188" t="s">
        <v>2</v>
      </c>
      <c r="I1188" t="s">
        <v>3</v>
      </c>
      <c r="J1188">
        <v>4</v>
      </c>
      <c r="K1188" t="s">
        <v>4</v>
      </c>
      <c r="L1188" t="s">
        <v>18</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1271</v>
      </c>
      <c r="B1189" t="s">
        <v>29</v>
      </c>
      <c r="C1189">
        <v>2</v>
      </c>
      <c r="D1189">
        <v>28.1</v>
      </c>
      <c r="E1189">
        <v>56.2</v>
      </c>
      <c r="F1189" s="1">
        <v>45704</v>
      </c>
      <c r="G1189" s="1">
        <v>45705</v>
      </c>
      <c r="H1189" t="s">
        <v>12</v>
      </c>
      <c r="I1189" t="s">
        <v>55</v>
      </c>
      <c r="J1189">
        <v>3</v>
      </c>
      <c r="K1189" t="s">
        <v>4</v>
      </c>
      <c r="L1189" t="s">
        <v>18</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1272</v>
      </c>
      <c r="B1190" t="s">
        <v>1</v>
      </c>
      <c r="C1190">
        <v>2</v>
      </c>
      <c r="D1190">
        <v>11.6</v>
      </c>
      <c r="E1190">
        <v>23.2</v>
      </c>
      <c r="F1190" s="1">
        <v>45704</v>
      </c>
      <c r="G1190" s="1">
        <v>45706</v>
      </c>
      <c r="H1190" t="s">
        <v>12</v>
      </c>
      <c r="I1190" t="s">
        <v>20</v>
      </c>
      <c r="J1190">
        <v>4</v>
      </c>
      <c r="K1190" t="s">
        <v>4</v>
      </c>
      <c r="L1190" t="s">
        <v>171</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1273</v>
      </c>
      <c r="B1191" t="s">
        <v>22</v>
      </c>
      <c r="C1191">
        <v>3</v>
      </c>
      <c r="D1191">
        <v>50.4</v>
      </c>
      <c r="E1191">
        <v>151.19999999999999</v>
      </c>
      <c r="F1191" s="1">
        <v>45704</v>
      </c>
      <c r="G1191" s="1">
        <v>45705</v>
      </c>
      <c r="H1191" t="s">
        <v>8</v>
      </c>
      <c r="I1191" t="s">
        <v>55</v>
      </c>
      <c r="J1191">
        <v>5</v>
      </c>
      <c r="K1191" t="s">
        <v>4</v>
      </c>
      <c r="L1191" t="s">
        <v>173</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1274</v>
      </c>
      <c r="B1192" t="s">
        <v>24</v>
      </c>
      <c r="C1192">
        <v>6</v>
      </c>
      <c r="D1192">
        <v>48.3</v>
      </c>
      <c r="E1192">
        <v>289.79999999999995</v>
      </c>
      <c r="F1192" s="1">
        <v>45704</v>
      </c>
      <c r="G1192" s="1">
        <v>45708</v>
      </c>
      <c r="H1192" t="s">
        <v>12</v>
      </c>
      <c r="I1192" t="s">
        <v>3</v>
      </c>
      <c r="J1192">
        <v>4</v>
      </c>
      <c r="K1192" t="s">
        <v>4</v>
      </c>
      <c r="L1192" t="s">
        <v>173</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1275</v>
      </c>
      <c r="B1193" t="s">
        <v>120</v>
      </c>
      <c r="C1193">
        <v>7</v>
      </c>
      <c r="D1193">
        <v>32.200000000000003</v>
      </c>
      <c r="E1193">
        <v>225.40000000000003</v>
      </c>
      <c r="F1193" s="1">
        <v>45704</v>
      </c>
      <c r="G1193" s="1">
        <v>45706</v>
      </c>
      <c r="H1193" t="s">
        <v>12</v>
      </c>
      <c r="I1193" t="s">
        <v>25</v>
      </c>
      <c r="J1193">
        <v>4</v>
      </c>
      <c r="K1193" t="s">
        <v>4</v>
      </c>
      <c r="L1193" t="s">
        <v>173</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1276</v>
      </c>
      <c r="B1194" t="s">
        <v>27</v>
      </c>
      <c r="C1194">
        <v>28</v>
      </c>
      <c r="D1194">
        <v>48.5</v>
      </c>
      <c r="E1194">
        <v>1358</v>
      </c>
      <c r="F1194" s="1">
        <v>45704</v>
      </c>
      <c r="G1194" s="1">
        <v>45705</v>
      </c>
      <c r="H1194" t="s">
        <v>8</v>
      </c>
      <c r="I1194" t="s">
        <v>3</v>
      </c>
      <c r="J1194">
        <v>4</v>
      </c>
      <c r="K1194" t="s">
        <v>4</v>
      </c>
      <c r="L1194" t="s">
        <v>37</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1277</v>
      </c>
      <c r="B1195" t="s">
        <v>11</v>
      </c>
      <c r="C1195">
        <v>5</v>
      </c>
      <c r="D1195">
        <v>62</v>
      </c>
      <c r="E1195">
        <v>310</v>
      </c>
      <c r="F1195" s="1">
        <v>45704</v>
      </c>
      <c r="G1195" s="1">
        <v>45707</v>
      </c>
      <c r="H1195" t="s">
        <v>12</v>
      </c>
      <c r="I1195" t="s">
        <v>20</v>
      </c>
      <c r="J1195">
        <v>4</v>
      </c>
      <c r="K1195" t="s">
        <v>4</v>
      </c>
      <c r="L1195" t="s">
        <v>40</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1278</v>
      </c>
      <c r="B1196" t="s">
        <v>29</v>
      </c>
      <c r="C1196">
        <v>3</v>
      </c>
      <c r="D1196">
        <v>32.1</v>
      </c>
      <c r="E1196">
        <v>96.300000000000011</v>
      </c>
      <c r="F1196" s="1">
        <v>45705</v>
      </c>
      <c r="G1196" s="1">
        <v>45707</v>
      </c>
      <c r="H1196" t="s">
        <v>8</v>
      </c>
      <c r="I1196" t="s">
        <v>3</v>
      </c>
      <c r="J1196">
        <v>4</v>
      </c>
      <c r="K1196" t="s">
        <v>4</v>
      </c>
      <c r="L1196" t="s">
        <v>40</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1279</v>
      </c>
      <c r="B1197" t="s">
        <v>54</v>
      </c>
      <c r="C1197">
        <v>3</v>
      </c>
      <c r="D1197">
        <v>106.1</v>
      </c>
      <c r="E1197">
        <v>318.29999999999995</v>
      </c>
      <c r="F1197" s="1">
        <v>45705</v>
      </c>
      <c r="G1197" s="1">
        <v>45707</v>
      </c>
      <c r="H1197" t="s">
        <v>8</v>
      </c>
      <c r="I1197" t="s">
        <v>3</v>
      </c>
      <c r="J1197">
        <v>3</v>
      </c>
      <c r="K1197" t="s">
        <v>4</v>
      </c>
      <c r="L1197" t="s">
        <v>44</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1280</v>
      </c>
      <c r="B1198" t="s">
        <v>39</v>
      </c>
      <c r="C1198">
        <v>3</v>
      </c>
      <c r="D1198">
        <v>23.5</v>
      </c>
      <c r="E1198">
        <v>70.5</v>
      </c>
      <c r="F1198" s="1">
        <v>45705</v>
      </c>
      <c r="G1198" s="1">
        <v>45708</v>
      </c>
      <c r="H1198" t="s">
        <v>8</v>
      </c>
      <c r="I1198" t="s">
        <v>3</v>
      </c>
      <c r="J1198">
        <v>2</v>
      </c>
      <c r="K1198" t="s">
        <v>4</v>
      </c>
      <c r="L1198" t="s">
        <v>44</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1281</v>
      </c>
      <c r="B1199" t="s">
        <v>7</v>
      </c>
      <c r="C1199">
        <v>2</v>
      </c>
      <c r="D1199">
        <v>35.6</v>
      </c>
      <c r="E1199">
        <v>71.2</v>
      </c>
      <c r="F1199" s="1">
        <v>45705</v>
      </c>
      <c r="G1199" s="1">
        <v>45710</v>
      </c>
      <c r="H1199" t="s">
        <v>8</v>
      </c>
      <c r="I1199" t="s">
        <v>55</v>
      </c>
      <c r="J1199">
        <v>4</v>
      </c>
      <c r="K1199" t="s">
        <v>4</v>
      </c>
      <c r="L1199" t="s">
        <v>47</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1282</v>
      </c>
      <c r="B1200" t="s">
        <v>7</v>
      </c>
      <c r="C1200">
        <v>2</v>
      </c>
      <c r="D1200">
        <v>63.5</v>
      </c>
      <c r="E1200">
        <v>127</v>
      </c>
      <c r="F1200" s="1">
        <v>45705</v>
      </c>
      <c r="G1200" s="1">
        <v>45705</v>
      </c>
      <c r="H1200" t="s">
        <v>12</v>
      </c>
      <c r="I1200" t="s">
        <v>20</v>
      </c>
      <c r="J1200">
        <v>5</v>
      </c>
      <c r="K1200" t="s">
        <v>4</v>
      </c>
      <c r="L1200" t="s">
        <v>47</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1283</v>
      </c>
      <c r="B1201" t="s">
        <v>24</v>
      </c>
      <c r="C1201">
        <v>7</v>
      </c>
      <c r="D1201">
        <v>82.9</v>
      </c>
      <c r="E1201">
        <v>580.30000000000007</v>
      </c>
      <c r="F1201" s="1">
        <v>45705</v>
      </c>
      <c r="G1201" s="1">
        <v>45710</v>
      </c>
      <c r="H1201" t="s">
        <v>12</v>
      </c>
      <c r="I1201" t="s">
        <v>55</v>
      </c>
      <c r="J1201">
        <v>4</v>
      </c>
      <c r="K1201" t="s">
        <v>4</v>
      </c>
      <c r="L1201" t="s">
        <v>57</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1284</v>
      </c>
      <c r="B1202" t="s">
        <v>24</v>
      </c>
      <c r="C1202">
        <v>2</v>
      </c>
      <c r="D1202">
        <v>83.6</v>
      </c>
      <c r="E1202">
        <v>167.2</v>
      </c>
      <c r="F1202" s="1">
        <v>45705</v>
      </c>
      <c r="G1202" s="1">
        <v>45710</v>
      </c>
      <c r="H1202" t="s">
        <v>12</v>
      </c>
      <c r="I1202" t="s">
        <v>3</v>
      </c>
      <c r="J1202">
        <v>4</v>
      </c>
      <c r="K1202" t="s">
        <v>4</v>
      </c>
      <c r="L1202" t="s">
        <v>62</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1285</v>
      </c>
      <c r="B1203" t="s">
        <v>17</v>
      </c>
      <c r="C1203">
        <v>2</v>
      </c>
      <c r="D1203">
        <v>29.4</v>
      </c>
      <c r="E1203">
        <v>58.8</v>
      </c>
      <c r="F1203" s="1">
        <v>45705</v>
      </c>
      <c r="G1203" s="1">
        <v>45705</v>
      </c>
      <c r="H1203" t="s">
        <v>12</v>
      </c>
      <c r="I1203" t="s">
        <v>3</v>
      </c>
      <c r="J1203">
        <v>3</v>
      </c>
      <c r="K1203" t="s">
        <v>4</v>
      </c>
      <c r="L1203" t="s">
        <v>253</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1286</v>
      </c>
      <c r="B1204" t="s">
        <v>11</v>
      </c>
      <c r="C1204">
        <v>3</v>
      </c>
      <c r="D1204">
        <v>107.1</v>
      </c>
      <c r="E1204">
        <v>321.29999999999995</v>
      </c>
      <c r="F1204" s="1">
        <v>45705</v>
      </c>
      <c r="G1204" s="1">
        <v>45709</v>
      </c>
      <c r="H1204" t="s">
        <v>12</v>
      </c>
      <c r="I1204" t="s">
        <v>25</v>
      </c>
      <c r="J1204">
        <v>4</v>
      </c>
      <c r="K1204" t="s">
        <v>4</v>
      </c>
      <c r="L1204" t="s">
        <v>98</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1287</v>
      </c>
      <c r="B1205" t="s">
        <v>11</v>
      </c>
      <c r="C1205">
        <v>1</v>
      </c>
      <c r="D1205">
        <v>62.7</v>
      </c>
      <c r="E1205">
        <v>62.7</v>
      </c>
      <c r="F1205" s="1">
        <v>45705</v>
      </c>
      <c r="G1205" s="1">
        <v>45709</v>
      </c>
      <c r="H1205" t="s">
        <v>8</v>
      </c>
      <c r="I1205" t="s">
        <v>20</v>
      </c>
      <c r="J1205">
        <v>4</v>
      </c>
      <c r="K1205" t="s">
        <v>4</v>
      </c>
      <c r="L1205" t="s">
        <v>100</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1288</v>
      </c>
      <c r="B1206" t="s">
        <v>52</v>
      </c>
      <c r="C1206">
        <v>1</v>
      </c>
      <c r="D1206">
        <v>41.6</v>
      </c>
      <c r="E1206">
        <v>41.6</v>
      </c>
      <c r="F1206" s="1">
        <v>45705</v>
      </c>
      <c r="G1206" s="1">
        <v>45706</v>
      </c>
      <c r="H1206" t="s">
        <v>8</v>
      </c>
      <c r="I1206" t="s">
        <v>3</v>
      </c>
      <c r="J1206">
        <v>3</v>
      </c>
      <c r="K1206" t="s">
        <v>4</v>
      </c>
      <c r="L1206" t="s">
        <v>9</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1289</v>
      </c>
      <c r="B1207" t="s">
        <v>24</v>
      </c>
      <c r="C1207">
        <v>1</v>
      </c>
      <c r="D1207">
        <v>44.2</v>
      </c>
      <c r="E1207">
        <v>44.2</v>
      </c>
      <c r="F1207" s="1">
        <v>45705</v>
      </c>
      <c r="G1207" s="1">
        <v>45706</v>
      </c>
      <c r="H1207" t="s">
        <v>74</v>
      </c>
      <c r="I1207" t="s">
        <v>3</v>
      </c>
      <c r="J1207">
        <v>3</v>
      </c>
      <c r="K1207" t="s">
        <v>4</v>
      </c>
      <c r="L1207" t="s">
        <v>9</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1290</v>
      </c>
      <c r="B1208" t="s">
        <v>17</v>
      </c>
      <c r="C1208">
        <v>6</v>
      </c>
      <c r="D1208">
        <v>40.4</v>
      </c>
      <c r="E1208">
        <v>242.39999999999998</v>
      </c>
      <c r="F1208" s="1">
        <v>45705</v>
      </c>
      <c r="G1208" s="1">
        <v>45718</v>
      </c>
      <c r="H1208" t="s">
        <v>12</v>
      </c>
      <c r="I1208" t="s">
        <v>25</v>
      </c>
      <c r="J1208">
        <v>4</v>
      </c>
      <c r="K1208" t="s">
        <v>4</v>
      </c>
      <c r="L1208" t="s">
        <v>132</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1291</v>
      </c>
      <c r="B1209" t="s">
        <v>108</v>
      </c>
      <c r="C1209">
        <v>6</v>
      </c>
      <c r="D1209">
        <v>59.6</v>
      </c>
      <c r="E1209">
        <v>357.6</v>
      </c>
      <c r="F1209" s="1">
        <v>45705</v>
      </c>
      <c r="G1209" s="1">
        <v>45706</v>
      </c>
      <c r="H1209" t="s">
        <v>12</v>
      </c>
      <c r="I1209" t="s">
        <v>55</v>
      </c>
      <c r="J1209">
        <v>4</v>
      </c>
      <c r="K1209" t="s">
        <v>4</v>
      </c>
      <c r="L1209" t="s">
        <v>319</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1292</v>
      </c>
      <c r="B1210" t="s">
        <v>120</v>
      </c>
      <c r="C1210">
        <v>12</v>
      </c>
      <c r="D1210">
        <v>63.8</v>
      </c>
      <c r="E1210">
        <v>765.59999999999991</v>
      </c>
      <c r="F1210" s="1">
        <v>45705</v>
      </c>
      <c r="G1210" s="1">
        <v>45706</v>
      </c>
      <c r="H1210" t="s">
        <v>8</v>
      </c>
      <c r="I1210" t="s">
        <v>20</v>
      </c>
      <c r="J1210">
        <v>4</v>
      </c>
      <c r="K1210" t="s">
        <v>4</v>
      </c>
      <c r="L1210" t="s">
        <v>18</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1293</v>
      </c>
      <c r="B1211" t="s">
        <v>31</v>
      </c>
      <c r="C1211">
        <v>6</v>
      </c>
      <c r="D1211">
        <v>30.8</v>
      </c>
      <c r="E1211">
        <v>184.8</v>
      </c>
      <c r="F1211" s="1">
        <v>45705</v>
      </c>
      <c r="G1211" s="1">
        <v>45707</v>
      </c>
      <c r="H1211" t="s">
        <v>8</v>
      </c>
      <c r="I1211" t="s">
        <v>55</v>
      </c>
      <c r="J1211">
        <v>4</v>
      </c>
      <c r="K1211" t="s">
        <v>4</v>
      </c>
      <c r="L1211" t="s">
        <v>18</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1294</v>
      </c>
      <c r="B1212" t="s">
        <v>7</v>
      </c>
      <c r="C1212">
        <v>2</v>
      </c>
      <c r="D1212">
        <v>41.5</v>
      </c>
      <c r="E1212">
        <v>83</v>
      </c>
      <c r="F1212" s="1">
        <v>45705</v>
      </c>
      <c r="G1212" s="1">
        <v>45708</v>
      </c>
      <c r="H1212" t="s">
        <v>74</v>
      </c>
      <c r="I1212" t="s">
        <v>3</v>
      </c>
      <c r="J1212">
        <v>4</v>
      </c>
      <c r="K1212" t="s">
        <v>4</v>
      </c>
      <c r="L1212" t="s">
        <v>18</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1295</v>
      </c>
      <c r="B1213" t="s">
        <v>39</v>
      </c>
      <c r="C1213">
        <v>4</v>
      </c>
      <c r="D1213">
        <v>44.7</v>
      </c>
      <c r="E1213">
        <v>178.8</v>
      </c>
      <c r="F1213" s="1">
        <v>45705</v>
      </c>
      <c r="G1213" s="1">
        <v>45707</v>
      </c>
      <c r="H1213" t="s">
        <v>12</v>
      </c>
      <c r="I1213" t="s">
        <v>25</v>
      </c>
      <c r="J1213">
        <v>3</v>
      </c>
      <c r="K1213" t="s">
        <v>4</v>
      </c>
      <c r="L1213" t="s">
        <v>18</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1296</v>
      </c>
      <c r="B1214" t="s">
        <v>54</v>
      </c>
      <c r="C1214">
        <v>2</v>
      </c>
      <c r="D1214">
        <v>64.099999999999994</v>
      </c>
      <c r="E1214">
        <v>128.19999999999999</v>
      </c>
      <c r="F1214" s="1">
        <v>45705</v>
      </c>
      <c r="G1214" s="1">
        <v>45709</v>
      </c>
      <c r="H1214" t="s">
        <v>12</v>
      </c>
      <c r="I1214" t="s">
        <v>20</v>
      </c>
      <c r="J1214">
        <v>2</v>
      </c>
      <c r="K1214" t="s">
        <v>4</v>
      </c>
      <c r="L1214" t="s">
        <v>18</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1297</v>
      </c>
      <c r="B1215" t="s">
        <v>29</v>
      </c>
      <c r="C1215">
        <v>1</v>
      </c>
      <c r="D1215">
        <v>15.9</v>
      </c>
      <c r="E1215">
        <v>15.9</v>
      </c>
      <c r="F1215" s="1">
        <v>45705</v>
      </c>
      <c r="G1215" s="1">
        <v>45708</v>
      </c>
      <c r="H1215" t="s">
        <v>2</v>
      </c>
      <c r="I1215" t="s">
        <v>20</v>
      </c>
      <c r="J1215">
        <v>4</v>
      </c>
      <c r="K1215" t="s">
        <v>4</v>
      </c>
      <c r="L1215" t="s">
        <v>18</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1298</v>
      </c>
      <c r="B1216" t="s">
        <v>24</v>
      </c>
      <c r="C1216">
        <v>2</v>
      </c>
      <c r="D1216">
        <v>78.7</v>
      </c>
      <c r="E1216">
        <v>157.4</v>
      </c>
      <c r="F1216" s="1">
        <v>45705</v>
      </c>
      <c r="G1216" s="1">
        <v>45705</v>
      </c>
      <c r="H1216" t="s">
        <v>12</v>
      </c>
      <c r="I1216" t="s">
        <v>25</v>
      </c>
      <c r="J1216">
        <v>3</v>
      </c>
      <c r="K1216" t="s">
        <v>4</v>
      </c>
      <c r="L1216" t="s">
        <v>18</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1299</v>
      </c>
      <c r="B1217" t="s">
        <v>22</v>
      </c>
      <c r="C1217">
        <v>12</v>
      </c>
      <c r="D1217">
        <v>29.6</v>
      </c>
      <c r="E1217">
        <v>355.20000000000005</v>
      </c>
      <c r="F1217" s="1">
        <v>45705</v>
      </c>
      <c r="G1217" s="1">
        <v>45709</v>
      </c>
      <c r="H1217" t="s">
        <v>8</v>
      </c>
      <c r="I1217" t="s">
        <v>25</v>
      </c>
      <c r="J1217">
        <v>2</v>
      </c>
      <c r="K1217" t="s">
        <v>4</v>
      </c>
      <c r="L1217" t="s">
        <v>18</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1300</v>
      </c>
      <c r="B1218" t="s">
        <v>29</v>
      </c>
      <c r="C1218">
        <v>4</v>
      </c>
      <c r="D1218">
        <v>21.5</v>
      </c>
      <c r="E1218">
        <v>86</v>
      </c>
      <c r="F1218" s="1">
        <v>45705</v>
      </c>
      <c r="G1218" s="1">
        <v>45708</v>
      </c>
      <c r="H1218" t="s">
        <v>8</v>
      </c>
      <c r="I1218" t="s">
        <v>20</v>
      </c>
      <c r="J1218">
        <v>4</v>
      </c>
      <c r="K1218" t="s">
        <v>4</v>
      </c>
      <c r="L1218" t="s">
        <v>18</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1301</v>
      </c>
      <c r="B1219" t="s">
        <v>31</v>
      </c>
      <c r="C1219">
        <v>3</v>
      </c>
      <c r="D1219">
        <v>74.900000000000006</v>
      </c>
      <c r="E1219">
        <v>224.70000000000002</v>
      </c>
      <c r="F1219" s="1">
        <v>45705</v>
      </c>
      <c r="G1219" s="1">
        <v>45714</v>
      </c>
      <c r="H1219" t="s">
        <v>8</v>
      </c>
      <c r="I1219" t="s">
        <v>36</v>
      </c>
      <c r="J1219">
        <v>3</v>
      </c>
      <c r="K1219" t="s">
        <v>4</v>
      </c>
      <c r="L1219" t="s">
        <v>18</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1302</v>
      </c>
      <c r="B1220" t="s">
        <v>39</v>
      </c>
      <c r="C1220">
        <v>6</v>
      </c>
      <c r="D1220">
        <v>45</v>
      </c>
      <c r="E1220">
        <v>270</v>
      </c>
      <c r="F1220" s="1">
        <v>45705</v>
      </c>
      <c r="G1220" s="1">
        <v>45710</v>
      </c>
      <c r="H1220" t="s">
        <v>12</v>
      </c>
      <c r="I1220" t="s">
        <v>25</v>
      </c>
      <c r="J1220">
        <v>4</v>
      </c>
      <c r="K1220" t="s">
        <v>4</v>
      </c>
      <c r="L1220" t="s">
        <v>18</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1303</v>
      </c>
      <c r="B1221" t="s">
        <v>27</v>
      </c>
      <c r="C1221">
        <v>34</v>
      </c>
      <c r="D1221">
        <v>37.9</v>
      </c>
      <c r="E1221">
        <v>1288.5999999999999</v>
      </c>
      <c r="F1221" s="1">
        <v>45705</v>
      </c>
      <c r="G1221" s="1">
        <v>45706</v>
      </c>
      <c r="H1221" t="s">
        <v>8</v>
      </c>
      <c r="I1221" t="s">
        <v>3</v>
      </c>
      <c r="J1221">
        <v>4</v>
      </c>
      <c r="K1221" t="s">
        <v>4</v>
      </c>
      <c r="L1221" t="s">
        <v>18</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1304</v>
      </c>
      <c r="B1222" t="s">
        <v>24</v>
      </c>
      <c r="C1222">
        <v>3</v>
      </c>
      <c r="D1222">
        <v>56.6</v>
      </c>
      <c r="E1222">
        <v>169.8</v>
      </c>
      <c r="F1222" s="1">
        <v>45705</v>
      </c>
      <c r="G1222" s="1">
        <v>45706</v>
      </c>
      <c r="H1222" t="s">
        <v>8</v>
      </c>
      <c r="I1222" t="s">
        <v>36</v>
      </c>
      <c r="J1222">
        <v>4</v>
      </c>
      <c r="K1222" t="s">
        <v>4</v>
      </c>
      <c r="L1222" t="s">
        <v>18</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1305</v>
      </c>
      <c r="B1223" t="s">
        <v>15</v>
      </c>
      <c r="C1223">
        <v>13</v>
      </c>
      <c r="D1223">
        <v>84.5</v>
      </c>
      <c r="E1223">
        <v>1098.5</v>
      </c>
      <c r="F1223" s="1">
        <v>45705</v>
      </c>
      <c r="G1223" s="1">
        <v>45708</v>
      </c>
      <c r="H1223" t="s">
        <v>12</v>
      </c>
      <c r="I1223" t="s">
        <v>20</v>
      </c>
      <c r="J1223">
        <v>2</v>
      </c>
      <c r="K1223" t="s">
        <v>4</v>
      </c>
      <c r="L1223" t="s">
        <v>18</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1306</v>
      </c>
      <c r="B1224" t="s">
        <v>11</v>
      </c>
      <c r="C1224">
        <v>5</v>
      </c>
      <c r="D1224">
        <v>105.4</v>
      </c>
      <c r="E1224">
        <v>527</v>
      </c>
      <c r="F1224" s="1">
        <v>45705</v>
      </c>
      <c r="G1224" s="1">
        <v>45707</v>
      </c>
      <c r="H1224" t="s">
        <v>12</v>
      </c>
      <c r="I1224" t="s">
        <v>20</v>
      </c>
      <c r="J1224">
        <v>3</v>
      </c>
      <c r="K1224" t="s">
        <v>4</v>
      </c>
      <c r="L1224" t="s">
        <v>18</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1307</v>
      </c>
      <c r="B1225" t="s">
        <v>131</v>
      </c>
      <c r="C1225">
        <v>7</v>
      </c>
      <c r="D1225">
        <v>39.4</v>
      </c>
      <c r="E1225">
        <v>275.8</v>
      </c>
      <c r="F1225" s="1">
        <v>45706</v>
      </c>
      <c r="G1225" s="1">
        <v>45706</v>
      </c>
      <c r="H1225" t="s">
        <v>8</v>
      </c>
      <c r="I1225" t="s">
        <v>20</v>
      </c>
      <c r="J1225">
        <v>4</v>
      </c>
      <c r="K1225" t="s">
        <v>4</v>
      </c>
      <c r="L1225" t="s">
        <v>349</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1308</v>
      </c>
      <c r="B1226" t="s">
        <v>156</v>
      </c>
      <c r="C1226">
        <v>3</v>
      </c>
      <c r="D1226">
        <v>38</v>
      </c>
      <c r="E1226">
        <v>114</v>
      </c>
      <c r="F1226" s="1">
        <v>45706</v>
      </c>
      <c r="G1226" s="1">
        <v>45709</v>
      </c>
      <c r="H1226" t="s">
        <v>8</v>
      </c>
      <c r="I1226" t="s">
        <v>55</v>
      </c>
      <c r="J1226">
        <v>3</v>
      </c>
      <c r="K1226" t="s">
        <v>4</v>
      </c>
      <c r="L1226" t="s">
        <v>40</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1309</v>
      </c>
      <c r="B1227" t="s">
        <v>120</v>
      </c>
      <c r="C1227">
        <v>4</v>
      </c>
      <c r="D1227">
        <v>42.5</v>
      </c>
      <c r="E1227">
        <v>170</v>
      </c>
      <c r="F1227" s="1">
        <v>45706</v>
      </c>
      <c r="G1227" s="1">
        <v>45708</v>
      </c>
      <c r="H1227" t="s">
        <v>2</v>
      </c>
      <c r="I1227" t="s">
        <v>3</v>
      </c>
      <c r="J1227">
        <v>4</v>
      </c>
      <c r="K1227" t="s">
        <v>4</v>
      </c>
      <c r="L1227" t="s">
        <v>40</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1310</v>
      </c>
      <c r="B1228" t="s">
        <v>108</v>
      </c>
      <c r="C1228">
        <v>1</v>
      </c>
      <c r="D1228">
        <v>62.3</v>
      </c>
      <c r="E1228">
        <v>62.3</v>
      </c>
      <c r="F1228" s="1">
        <v>45706</v>
      </c>
      <c r="G1228" s="1">
        <v>45715</v>
      </c>
      <c r="H1228" t="s">
        <v>8</v>
      </c>
      <c r="I1228" t="s">
        <v>3</v>
      </c>
      <c r="J1228">
        <v>5</v>
      </c>
      <c r="K1228" t="s">
        <v>4</v>
      </c>
      <c r="L1228" t="s">
        <v>40</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1311</v>
      </c>
      <c r="B1229" t="s">
        <v>24</v>
      </c>
      <c r="C1229">
        <v>5</v>
      </c>
      <c r="D1229">
        <v>49.1</v>
      </c>
      <c r="E1229">
        <v>245.5</v>
      </c>
      <c r="F1229" s="1">
        <v>45706</v>
      </c>
      <c r="G1229" s="1">
        <v>45708</v>
      </c>
      <c r="H1229" t="s">
        <v>12</v>
      </c>
      <c r="I1229" t="s">
        <v>20</v>
      </c>
      <c r="J1229">
        <v>5</v>
      </c>
      <c r="K1229" t="s">
        <v>4</v>
      </c>
      <c r="L1229" t="s">
        <v>44</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1312</v>
      </c>
      <c r="B1230" t="s">
        <v>15</v>
      </c>
      <c r="C1230">
        <v>2</v>
      </c>
      <c r="D1230">
        <v>30.5</v>
      </c>
      <c r="E1230">
        <v>61</v>
      </c>
      <c r="F1230" s="1">
        <v>45706</v>
      </c>
      <c r="G1230" s="1">
        <v>45709</v>
      </c>
      <c r="H1230" t="s">
        <v>8</v>
      </c>
      <c r="I1230" t="s">
        <v>3</v>
      </c>
      <c r="J1230">
        <v>5</v>
      </c>
      <c r="K1230" t="s">
        <v>4</v>
      </c>
      <c r="L1230" t="s">
        <v>47</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1313</v>
      </c>
      <c r="B1231" t="s">
        <v>11</v>
      </c>
      <c r="C1231">
        <v>2</v>
      </c>
      <c r="D1231">
        <v>154.80000000000001</v>
      </c>
      <c r="E1231">
        <v>309.60000000000002</v>
      </c>
      <c r="F1231" s="1">
        <v>45706</v>
      </c>
      <c r="G1231" s="1">
        <v>45709</v>
      </c>
      <c r="H1231" t="s">
        <v>12</v>
      </c>
      <c r="I1231" t="s">
        <v>20</v>
      </c>
      <c r="J1231">
        <v>2</v>
      </c>
      <c r="K1231" t="s">
        <v>4</v>
      </c>
      <c r="L1231" t="s">
        <v>47</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1314</v>
      </c>
      <c r="B1232" t="s">
        <v>24</v>
      </c>
      <c r="C1232">
        <v>1</v>
      </c>
      <c r="D1232">
        <v>45</v>
      </c>
      <c r="E1232">
        <v>45</v>
      </c>
      <c r="F1232" s="1">
        <v>45706</v>
      </c>
      <c r="G1232" s="1">
        <v>45710</v>
      </c>
      <c r="H1232" t="s">
        <v>8</v>
      </c>
      <c r="I1232" t="s">
        <v>36</v>
      </c>
      <c r="J1232">
        <v>3</v>
      </c>
      <c r="K1232" t="s">
        <v>4</v>
      </c>
      <c r="L1232" t="s">
        <v>47</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1315</v>
      </c>
      <c r="B1233" t="s">
        <v>1</v>
      </c>
      <c r="C1233">
        <v>7</v>
      </c>
      <c r="D1233">
        <v>15.3</v>
      </c>
      <c r="E1233">
        <v>107.10000000000001</v>
      </c>
      <c r="F1233" s="1">
        <v>45706</v>
      </c>
      <c r="G1233" s="1">
        <v>45707</v>
      </c>
      <c r="H1233" t="s">
        <v>8</v>
      </c>
      <c r="I1233" t="s">
        <v>3</v>
      </c>
      <c r="J1233">
        <v>5</v>
      </c>
      <c r="K1233" t="s">
        <v>4</v>
      </c>
      <c r="L1233" t="s">
        <v>47</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1316</v>
      </c>
      <c r="B1234" t="s">
        <v>11</v>
      </c>
      <c r="C1234">
        <v>11</v>
      </c>
      <c r="D1234">
        <v>88.6</v>
      </c>
      <c r="E1234">
        <v>974.59999999999991</v>
      </c>
      <c r="F1234" s="1">
        <v>45706</v>
      </c>
      <c r="G1234" s="1">
        <v>45709</v>
      </c>
      <c r="H1234" t="s">
        <v>12</v>
      </c>
      <c r="I1234" t="s">
        <v>3</v>
      </c>
      <c r="J1234">
        <v>2</v>
      </c>
      <c r="K1234" t="s">
        <v>4</v>
      </c>
      <c r="L1234" t="s">
        <v>88</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1317</v>
      </c>
      <c r="B1235" t="s">
        <v>31</v>
      </c>
      <c r="C1235">
        <v>2</v>
      </c>
      <c r="D1235">
        <v>49.7</v>
      </c>
      <c r="E1235">
        <v>99.4</v>
      </c>
      <c r="F1235" s="1">
        <v>45706</v>
      </c>
      <c r="G1235" s="1">
        <v>45708</v>
      </c>
      <c r="H1235" t="s">
        <v>74</v>
      </c>
      <c r="I1235" t="s">
        <v>55</v>
      </c>
      <c r="J1235">
        <v>4</v>
      </c>
      <c r="K1235" t="s">
        <v>4</v>
      </c>
      <c r="L1235" t="s">
        <v>59</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1318</v>
      </c>
      <c r="B1236" t="s">
        <v>39</v>
      </c>
      <c r="C1236">
        <v>1</v>
      </c>
      <c r="D1236">
        <v>29</v>
      </c>
      <c r="E1236">
        <v>29</v>
      </c>
      <c r="F1236" s="1">
        <v>45706</v>
      </c>
      <c r="G1236" s="1">
        <v>45707</v>
      </c>
      <c r="H1236" t="s">
        <v>8</v>
      </c>
      <c r="I1236" t="s">
        <v>3</v>
      </c>
      <c r="J1236">
        <v>4</v>
      </c>
      <c r="K1236" t="s">
        <v>4</v>
      </c>
      <c r="L1236" t="s">
        <v>62</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1319</v>
      </c>
      <c r="B1237" t="s">
        <v>7</v>
      </c>
      <c r="C1237">
        <v>1</v>
      </c>
      <c r="D1237">
        <v>60.7</v>
      </c>
      <c r="E1237">
        <v>60.7</v>
      </c>
      <c r="F1237" s="1">
        <v>45706</v>
      </c>
      <c r="G1237" s="1">
        <v>45707</v>
      </c>
      <c r="H1237" t="s">
        <v>74</v>
      </c>
      <c r="I1237" t="s">
        <v>3</v>
      </c>
      <c r="J1237">
        <v>3</v>
      </c>
      <c r="K1237" t="s">
        <v>4</v>
      </c>
      <c r="L1237" t="s">
        <v>62</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1320</v>
      </c>
      <c r="B1238" t="s">
        <v>120</v>
      </c>
      <c r="C1238">
        <v>4</v>
      </c>
      <c r="D1238">
        <v>87.4</v>
      </c>
      <c r="E1238">
        <v>349.6</v>
      </c>
      <c r="F1238" s="1">
        <v>45706</v>
      </c>
      <c r="G1238" s="1">
        <v>45708</v>
      </c>
      <c r="H1238" t="s">
        <v>2</v>
      </c>
      <c r="I1238" t="s">
        <v>3</v>
      </c>
      <c r="J1238">
        <v>4</v>
      </c>
      <c r="K1238" t="s">
        <v>4</v>
      </c>
      <c r="L1238" t="s">
        <v>62</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1321</v>
      </c>
      <c r="B1239" t="s">
        <v>17</v>
      </c>
      <c r="C1239">
        <v>7</v>
      </c>
      <c r="D1239">
        <v>44.5</v>
      </c>
      <c r="E1239">
        <v>311.5</v>
      </c>
      <c r="F1239" s="1">
        <v>45706</v>
      </c>
      <c r="G1239" s="1">
        <v>45710</v>
      </c>
      <c r="H1239" t="s">
        <v>12</v>
      </c>
      <c r="I1239" t="s">
        <v>25</v>
      </c>
      <c r="J1239">
        <v>5</v>
      </c>
      <c r="K1239" t="s">
        <v>4</v>
      </c>
      <c r="L1239" t="s">
        <v>95</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1322</v>
      </c>
      <c r="B1240" t="s">
        <v>11</v>
      </c>
      <c r="C1240">
        <v>1</v>
      </c>
      <c r="D1240">
        <v>141</v>
      </c>
      <c r="E1240">
        <v>141</v>
      </c>
      <c r="F1240" s="1">
        <v>45706</v>
      </c>
      <c r="G1240" s="1">
        <v>45707</v>
      </c>
      <c r="H1240" t="s">
        <v>8</v>
      </c>
      <c r="I1240" t="s">
        <v>55</v>
      </c>
      <c r="J1240">
        <v>5</v>
      </c>
      <c r="K1240" t="s">
        <v>4</v>
      </c>
      <c r="L1240" t="s">
        <v>95</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1323</v>
      </c>
      <c r="B1241" t="s">
        <v>1</v>
      </c>
      <c r="C1241">
        <v>3</v>
      </c>
      <c r="D1241">
        <v>16.7</v>
      </c>
      <c r="E1241">
        <v>50.099999999999994</v>
      </c>
      <c r="F1241" s="1">
        <v>45706</v>
      </c>
      <c r="G1241" s="1">
        <v>45714</v>
      </c>
      <c r="H1241" t="s">
        <v>12</v>
      </c>
      <c r="I1241" t="s">
        <v>3</v>
      </c>
      <c r="J1241">
        <v>4</v>
      </c>
      <c r="K1241" t="s">
        <v>4</v>
      </c>
      <c r="L1241" t="s">
        <v>98</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1324</v>
      </c>
      <c r="B1242" t="s">
        <v>7</v>
      </c>
      <c r="C1242">
        <v>2</v>
      </c>
      <c r="D1242">
        <v>77.5</v>
      </c>
      <c r="E1242">
        <v>155</v>
      </c>
      <c r="F1242" s="1">
        <v>45706</v>
      </c>
      <c r="G1242" s="1">
        <v>45707</v>
      </c>
      <c r="H1242" t="s">
        <v>2</v>
      </c>
      <c r="I1242" t="s">
        <v>25</v>
      </c>
      <c r="J1242">
        <v>5</v>
      </c>
      <c r="K1242" t="s">
        <v>4</v>
      </c>
      <c r="L1242" t="s">
        <v>67</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1325</v>
      </c>
      <c r="B1243" t="s">
        <v>11</v>
      </c>
      <c r="C1243">
        <v>2</v>
      </c>
      <c r="D1243">
        <v>163</v>
      </c>
      <c r="E1243">
        <v>326</v>
      </c>
      <c r="F1243" s="1">
        <v>45706</v>
      </c>
      <c r="G1243" s="1">
        <v>45712</v>
      </c>
      <c r="H1243" t="s">
        <v>12</v>
      </c>
      <c r="I1243" t="s">
        <v>55</v>
      </c>
      <c r="J1243">
        <v>4</v>
      </c>
      <c r="K1243" t="s">
        <v>4</v>
      </c>
      <c r="L1243" t="s">
        <v>100</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1326</v>
      </c>
      <c r="B1244" t="s">
        <v>17</v>
      </c>
      <c r="C1244">
        <v>9</v>
      </c>
      <c r="D1244">
        <v>21.4</v>
      </c>
      <c r="E1244">
        <v>192.6</v>
      </c>
      <c r="F1244" s="1">
        <v>45706</v>
      </c>
      <c r="G1244" s="1">
        <v>45709</v>
      </c>
      <c r="H1244" t="s">
        <v>12</v>
      </c>
      <c r="I1244" t="s">
        <v>3</v>
      </c>
      <c r="J1244">
        <v>4</v>
      </c>
      <c r="K1244" t="s">
        <v>4</v>
      </c>
      <c r="L1244" t="s">
        <v>952</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1327</v>
      </c>
      <c r="B1245" t="s">
        <v>39</v>
      </c>
      <c r="C1245">
        <v>11</v>
      </c>
      <c r="D1245">
        <v>31</v>
      </c>
      <c r="E1245">
        <v>341</v>
      </c>
      <c r="F1245" s="1">
        <v>45706</v>
      </c>
      <c r="G1245" s="1">
        <v>45708</v>
      </c>
      <c r="H1245" t="s">
        <v>12</v>
      </c>
      <c r="I1245" t="s">
        <v>36</v>
      </c>
      <c r="J1245">
        <v>5</v>
      </c>
      <c r="K1245" t="s">
        <v>4</v>
      </c>
      <c r="L1245" t="s">
        <v>9</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1328</v>
      </c>
      <c r="B1246" t="s">
        <v>27</v>
      </c>
      <c r="C1246">
        <v>2</v>
      </c>
      <c r="D1246">
        <v>34.299999999999997</v>
      </c>
      <c r="E1246">
        <v>68.599999999999994</v>
      </c>
      <c r="F1246" s="1">
        <v>45706</v>
      </c>
      <c r="G1246" s="1">
        <v>45708</v>
      </c>
      <c r="H1246" t="s">
        <v>12</v>
      </c>
      <c r="I1246" t="s">
        <v>3</v>
      </c>
      <c r="J1246">
        <v>1</v>
      </c>
      <c r="K1246" t="s">
        <v>4</v>
      </c>
      <c r="L1246" t="s">
        <v>9</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1329</v>
      </c>
      <c r="B1247" t="s">
        <v>120</v>
      </c>
      <c r="C1247">
        <v>5</v>
      </c>
      <c r="D1247">
        <v>48.2</v>
      </c>
      <c r="E1247">
        <v>241</v>
      </c>
      <c r="F1247" s="1">
        <v>45706</v>
      </c>
      <c r="G1247" s="1">
        <v>45707</v>
      </c>
      <c r="H1247" t="s">
        <v>8</v>
      </c>
      <c r="I1247" t="s">
        <v>20</v>
      </c>
      <c r="J1247">
        <v>3</v>
      </c>
      <c r="K1247" t="s">
        <v>4</v>
      </c>
      <c r="L1247" t="s">
        <v>13</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1330</v>
      </c>
      <c r="B1248" t="s">
        <v>39</v>
      </c>
      <c r="C1248">
        <v>1</v>
      </c>
      <c r="D1248">
        <v>51.4</v>
      </c>
      <c r="E1248">
        <v>51.4</v>
      </c>
      <c r="F1248" s="1">
        <v>45706</v>
      </c>
      <c r="G1248" s="1">
        <v>45707</v>
      </c>
      <c r="H1248" t="s">
        <v>8</v>
      </c>
      <c r="I1248" t="s">
        <v>3</v>
      </c>
      <c r="J1248">
        <v>4</v>
      </c>
      <c r="K1248" t="s">
        <v>4</v>
      </c>
      <c r="L1248" t="s">
        <v>18</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1331</v>
      </c>
      <c r="B1249" t="s">
        <v>11</v>
      </c>
      <c r="C1249">
        <v>5</v>
      </c>
      <c r="D1249">
        <v>117.2</v>
      </c>
      <c r="E1249">
        <v>586</v>
      </c>
      <c r="F1249" s="1">
        <v>45706</v>
      </c>
      <c r="G1249" s="1">
        <v>45709</v>
      </c>
      <c r="H1249" t="s">
        <v>12</v>
      </c>
      <c r="I1249" t="s">
        <v>55</v>
      </c>
      <c r="J1249">
        <v>2</v>
      </c>
      <c r="K1249" t="s">
        <v>4</v>
      </c>
      <c r="L1249" t="s">
        <v>18</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1332</v>
      </c>
      <c r="B1250" t="s">
        <v>29</v>
      </c>
      <c r="C1250">
        <v>1</v>
      </c>
      <c r="D1250">
        <v>38.1</v>
      </c>
      <c r="E1250">
        <v>38.1</v>
      </c>
      <c r="F1250" s="1">
        <v>45706</v>
      </c>
      <c r="G1250" s="1">
        <v>45706</v>
      </c>
      <c r="H1250" t="s">
        <v>8</v>
      </c>
      <c r="I1250" t="s">
        <v>55</v>
      </c>
      <c r="J1250">
        <v>3</v>
      </c>
      <c r="K1250" t="s">
        <v>4</v>
      </c>
      <c r="L1250" t="s">
        <v>18</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1333</v>
      </c>
      <c r="B1251" t="s">
        <v>1</v>
      </c>
      <c r="C1251">
        <v>2</v>
      </c>
      <c r="D1251">
        <v>44.1</v>
      </c>
      <c r="E1251">
        <v>88.2</v>
      </c>
      <c r="F1251" s="1">
        <v>45706</v>
      </c>
      <c r="G1251" s="1">
        <v>45708</v>
      </c>
      <c r="H1251" t="s">
        <v>12</v>
      </c>
      <c r="I1251" t="s">
        <v>25</v>
      </c>
      <c r="J1251">
        <v>4</v>
      </c>
      <c r="K1251" t="s">
        <v>4</v>
      </c>
      <c r="L1251" t="s">
        <v>18</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1334</v>
      </c>
      <c r="B1252" t="s">
        <v>108</v>
      </c>
      <c r="C1252">
        <v>4</v>
      </c>
      <c r="D1252">
        <v>80.5</v>
      </c>
      <c r="E1252">
        <v>322</v>
      </c>
      <c r="F1252" s="1">
        <v>45706</v>
      </c>
      <c r="G1252" s="1">
        <v>45711</v>
      </c>
      <c r="H1252" t="s">
        <v>8</v>
      </c>
      <c r="I1252" t="s">
        <v>3</v>
      </c>
      <c r="J1252">
        <v>4</v>
      </c>
      <c r="K1252" t="s">
        <v>4</v>
      </c>
      <c r="L1252" t="s">
        <v>18</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1335</v>
      </c>
      <c r="B1253" t="s">
        <v>131</v>
      </c>
      <c r="C1253">
        <v>4</v>
      </c>
      <c r="D1253">
        <v>33.6</v>
      </c>
      <c r="E1253">
        <v>134.4</v>
      </c>
      <c r="F1253" s="1">
        <v>45706</v>
      </c>
      <c r="G1253" s="1">
        <v>45711</v>
      </c>
      <c r="H1253" t="s">
        <v>2</v>
      </c>
      <c r="I1253" t="s">
        <v>3</v>
      </c>
      <c r="J1253">
        <v>5</v>
      </c>
      <c r="K1253" t="s">
        <v>4</v>
      </c>
      <c r="L1253" t="s">
        <v>18</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1336</v>
      </c>
      <c r="B1254" t="s">
        <v>31</v>
      </c>
      <c r="C1254">
        <v>9</v>
      </c>
      <c r="D1254">
        <v>41.8</v>
      </c>
      <c r="E1254">
        <v>376.2</v>
      </c>
      <c r="F1254" s="1">
        <v>45706</v>
      </c>
      <c r="G1254" s="1">
        <v>45707</v>
      </c>
      <c r="H1254" t="s">
        <v>12</v>
      </c>
      <c r="I1254" t="s">
        <v>3</v>
      </c>
      <c r="J1254">
        <v>3</v>
      </c>
      <c r="K1254" t="s">
        <v>4</v>
      </c>
      <c r="L1254" t="s">
        <v>18</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1337</v>
      </c>
      <c r="B1255" t="s">
        <v>7</v>
      </c>
      <c r="C1255">
        <v>2</v>
      </c>
      <c r="D1255">
        <v>106.2</v>
      </c>
      <c r="E1255">
        <v>212.4</v>
      </c>
      <c r="F1255" s="1">
        <v>45706</v>
      </c>
      <c r="G1255" s="1">
        <v>45706</v>
      </c>
      <c r="H1255" t="s">
        <v>12</v>
      </c>
      <c r="I1255" t="s">
        <v>55</v>
      </c>
      <c r="J1255">
        <v>5</v>
      </c>
      <c r="K1255" t="s">
        <v>4</v>
      </c>
      <c r="L1255" t="s">
        <v>18</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1338</v>
      </c>
      <c r="B1256" t="s">
        <v>7</v>
      </c>
      <c r="C1256">
        <v>2</v>
      </c>
      <c r="D1256">
        <v>52.6</v>
      </c>
      <c r="E1256">
        <v>105.2</v>
      </c>
      <c r="F1256" s="1">
        <v>45706</v>
      </c>
      <c r="G1256" s="1">
        <v>45707</v>
      </c>
      <c r="H1256" t="s">
        <v>12</v>
      </c>
      <c r="I1256" t="s">
        <v>3</v>
      </c>
      <c r="J1256">
        <v>5</v>
      </c>
      <c r="K1256" t="s">
        <v>4</v>
      </c>
      <c r="L1256" t="s">
        <v>37</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1339</v>
      </c>
      <c r="B1257" t="s">
        <v>52</v>
      </c>
      <c r="C1257">
        <v>7</v>
      </c>
      <c r="D1257">
        <v>68.5</v>
      </c>
      <c r="E1257">
        <v>479.5</v>
      </c>
      <c r="F1257" s="1">
        <v>45706</v>
      </c>
      <c r="G1257" s="1">
        <v>45707</v>
      </c>
      <c r="H1257" t="s">
        <v>12</v>
      </c>
      <c r="I1257" t="s">
        <v>20</v>
      </c>
      <c r="J1257">
        <v>4</v>
      </c>
      <c r="K1257" t="s">
        <v>4</v>
      </c>
      <c r="L1257" t="s">
        <v>37</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1340</v>
      </c>
      <c r="B1258" t="s">
        <v>7</v>
      </c>
      <c r="C1258">
        <v>2</v>
      </c>
      <c r="D1258">
        <v>55.6</v>
      </c>
      <c r="E1258">
        <v>111.2</v>
      </c>
      <c r="F1258" s="1">
        <v>45706</v>
      </c>
      <c r="G1258" s="1">
        <v>45708</v>
      </c>
      <c r="H1258" t="s">
        <v>8</v>
      </c>
      <c r="I1258" t="s">
        <v>20</v>
      </c>
      <c r="J1258">
        <v>5</v>
      </c>
      <c r="K1258" t="s">
        <v>4</v>
      </c>
      <c r="L1258" t="s">
        <v>40</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1341</v>
      </c>
      <c r="B1259" t="s">
        <v>11</v>
      </c>
      <c r="C1259">
        <v>3</v>
      </c>
      <c r="D1259">
        <v>134.9</v>
      </c>
      <c r="E1259">
        <v>404.70000000000005</v>
      </c>
      <c r="F1259" s="1">
        <v>45706</v>
      </c>
      <c r="G1259" s="1">
        <v>45707</v>
      </c>
      <c r="H1259" t="s">
        <v>8</v>
      </c>
      <c r="I1259" t="s">
        <v>20</v>
      </c>
      <c r="J1259">
        <v>3</v>
      </c>
      <c r="K1259" t="s">
        <v>4</v>
      </c>
      <c r="L1259" t="s">
        <v>40</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1342</v>
      </c>
      <c r="B1260" t="s">
        <v>39</v>
      </c>
      <c r="C1260">
        <v>5</v>
      </c>
      <c r="D1260">
        <v>42.6</v>
      </c>
      <c r="E1260">
        <v>213</v>
      </c>
      <c r="F1260" s="1">
        <v>45706</v>
      </c>
      <c r="G1260" s="1">
        <v>45707</v>
      </c>
      <c r="H1260" t="s">
        <v>8</v>
      </c>
      <c r="I1260" t="s">
        <v>3</v>
      </c>
      <c r="J1260">
        <v>4</v>
      </c>
      <c r="K1260" t="s">
        <v>4</v>
      </c>
      <c r="L1260" t="s">
        <v>40</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1343</v>
      </c>
      <c r="B1261" t="s">
        <v>27</v>
      </c>
      <c r="C1261">
        <v>5</v>
      </c>
      <c r="D1261">
        <v>60.6</v>
      </c>
      <c r="E1261">
        <v>303</v>
      </c>
      <c r="F1261" s="1">
        <v>45706</v>
      </c>
      <c r="G1261" s="1">
        <v>45708</v>
      </c>
      <c r="H1261" t="s">
        <v>8</v>
      </c>
      <c r="I1261" t="s">
        <v>55</v>
      </c>
      <c r="J1261">
        <v>4</v>
      </c>
      <c r="K1261" t="s">
        <v>4</v>
      </c>
      <c r="L1261" t="s">
        <v>40</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1344</v>
      </c>
      <c r="B1262" t="s">
        <v>29</v>
      </c>
      <c r="C1262">
        <v>2</v>
      </c>
      <c r="D1262">
        <v>43.5</v>
      </c>
      <c r="E1262">
        <v>87</v>
      </c>
      <c r="F1262" s="1">
        <v>45706</v>
      </c>
      <c r="G1262" s="1">
        <v>45707</v>
      </c>
      <c r="H1262" t="s">
        <v>8</v>
      </c>
      <c r="I1262" t="s">
        <v>55</v>
      </c>
      <c r="J1262">
        <v>4</v>
      </c>
      <c r="K1262" t="s">
        <v>4</v>
      </c>
      <c r="L1262" t="s">
        <v>44</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1345</v>
      </c>
      <c r="B1263" t="s">
        <v>11</v>
      </c>
      <c r="C1263">
        <v>2</v>
      </c>
      <c r="D1263">
        <v>187.1</v>
      </c>
      <c r="E1263">
        <v>374.2</v>
      </c>
      <c r="F1263" s="1">
        <v>45706</v>
      </c>
      <c r="G1263" s="1">
        <v>45707</v>
      </c>
      <c r="H1263" t="s">
        <v>8</v>
      </c>
      <c r="I1263" t="s">
        <v>20</v>
      </c>
      <c r="J1263">
        <v>5</v>
      </c>
      <c r="K1263" t="s">
        <v>4</v>
      </c>
      <c r="L1263" t="s">
        <v>47</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1346</v>
      </c>
      <c r="B1264" t="s">
        <v>31</v>
      </c>
      <c r="C1264">
        <v>3</v>
      </c>
      <c r="D1264">
        <v>32</v>
      </c>
      <c r="E1264">
        <v>96</v>
      </c>
      <c r="F1264" s="1">
        <v>45706</v>
      </c>
      <c r="G1264" s="1">
        <v>45708</v>
      </c>
      <c r="H1264" t="s">
        <v>8</v>
      </c>
      <c r="I1264" t="s">
        <v>3</v>
      </c>
      <c r="J1264">
        <v>4</v>
      </c>
      <c r="K1264" t="s">
        <v>4</v>
      </c>
      <c r="L1264" t="s">
        <v>47</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1347</v>
      </c>
      <c r="B1265" t="s">
        <v>31</v>
      </c>
      <c r="C1265">
        <v>2</v>
      </c>
      <c r="D1265">
        <v>110.8</v>
      </c>
      <c r="E1265">
        <v>221.6</v>
      </c>
      <c r="F1265" s="1">
        <v>45706</v>
      </c>
      <c r="G1265" s="1">
        <v>45706</v>
      </c>
      <c r="H1265" t="s">
        <v>8</v>
      </c>
      <c r="I1265" t="s">
        <v>3</v>
      </c>
      <c r="J1265">
        <v>5</v>
      </c>
      <c r="K1265" t="s">
        <v>4</v>
      </c>
      <c r="L1265" t="s">
        <v>47</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1348</v>
      </c>
      <c r="B1266" t="s">
        <v>39</v>
      </c>
      <c r="C1266">
        <v>13</v>
      </c>
      <c r="D1266">
        <v>36.1</v>
      </c>
      <c r="E1266">
        <v>469.3</v>
      </c>
      <c r="F1266" s="1">
        <v>45706</v>
      </c>
      <c r="G1266" s="1">
        <v>45709</v>
      </c>
      <c r="H1266" t="s">
        <v>12</v>
      </c>
      <c r="I1266" t="s">
        <v>3</v>
      </c>
      <c r="J1266">
        <v>3</v>
      </c>
      <c r="K1266" t="s">
        <v>4</v>
      </c>
      <c r="L1266" t="s">
        <v>47</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1349</v>
      </c>
      <c r="B1267" t="s">
        <v>1</v>
      </c>
      <c r="C1267">
        <v>1</v>
      </c>
      <c r="D1267">
        <v>24.1</v>
      </c>
      <c r="E1267">
        <v>24.1</v>
      </c>
      <c r="F1267" s="1">
        <v>45706</v>
      </c>
      <c r="G1267" s="1">
        <v>45708</v>
      </c>
      <c r="H1267" t="s">
        <v>12</v>
      </c>
      <c r="I1267" t="s">
        <v>55</v>
      </c>
      <c r="J1267">
        <v>5</v>
      </c>
      <c r="K1267" t="s">
        <v>4</v>
      </c>
      <c r="L1267" t="s">
        <v>47</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1350</v>
      </c>
      <c r="B1268" t="s">
        <v>156</v>
      </c>
      <c r="C1268">
        <v>3</v>
      </c>
      <c r="D1268">
        <v>30.5</v>
      </c>
      <c r="E1268">
        <v>91.5</v>
      </c>
      <c r="F1268" s="1">
        <v>45706</v>
      </c>
      <c r="G1268" s="1">
        <v>45708</v>
      </c>
      <c r="H1268" t="s">
        <v>8</v>
      </c>
      <c r="I1268" t="s">
        <v>20</v>
      </c>
      <c r="J1268">
        <v>4</v>
      </c>
      <c r="K1268" t="s">
        <v>4</v>
      </c>
      <c r="L1268" t="s">
        <v>47</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1351</v>
      </c>
      <c r="B1269" t="s">
        <v>131</v>
      </c>
      <c r="C1269">
        <v>6</v>
      </c>
      <c r="D1269">
        <v>68.3</v>
      </c>
      <c r="E1269">
        <v>409.79999999999995</v>
      </c>
      <c r="F1269" s="1">
        <v>45706</v>
      </c>
      <c r="G1269" s="1">
        <v>45709</v>
      </c>
      <c r="H1269" t="s">
        <v>8</v>
      </c>
      <c r="I1269" t="s">
        <v>3</v>
      </c>
      <c r="J1269">
        <v>4</v>
      </c>
      <c r="K1269" t="s">
        <v>4</v>
      </c>
      <c r="L1269" t="s">
        <v>47</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1352</v>
      </c>
      <c r="B1270" t="s">
        <v>27</v>
      </c>
      <c r="C1270">
        <v>3</v>
      </c>
      <c r="D1270">
        <v>43.3</v>
      </c>
      <c r="E1270">
        <v>129.89999999999998</v>
      </c>
      <c r="F1270" s="1">
        <v>45706</v>
      </c>
      <c r="G1270" s="1">
        <v>45710</v>
      </c>
      <c r="H1270" t="s">
        <v>12</v>
      </c>
      <c r="I1270" t="s">
        <v>3</v>
      </c>
      <c r="J1270">
        <v>4</v>
      </c>
      <c r="K1270" t="s">
        <v>4</v>
      </c>
      <c r="L1270" t="s">
        <v>88</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1353</v>
      </c>
      <c r="B1271" t="s">
        <v>15</v>
      </c>
      <c r="C1271">
        <v>1</v>
      </c>
      <c r="D1271">
        <v>101.7</v>
      </c>
      <c r="E1271">
        <v>101.7</v>
      </c>
      <c r="F1271" s="1">
        <v>45706</v>
      </c>
      <c r="G1271" s="1">
        <v>45709</v>
      </c>
      <c r="H1271" t="s">
        <v>12</v>
      </c>
      <c r="I1271" t="s">
        <v>3</v>
      </c>
      <c r="J1271">
        <v>3</v>
      </c>
      <c r="K1271" t="s">
        <v>4</v>
      </c>
      <c r="L1271" t="s">
        <v>88</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1354</v>
      </c>
      <c r="B1272" t="s">
        <v>52</v>
      </c>
      <c r="C1272">
        <v>2</v>
      </c>
      <c r="D1272">
        <v>54.2</v>
      </c>
      <c r="E1272">
        <v>108.4</v>
      </c>
      <c r="F1272" s="1">
        <v>45706</v>
      </c>
      <c r="G1272" s="1">
        <v>45707</v>
      </c>
      <c r="H1272" t="s">
        <v>12</v>
      </c>
      <c r="I1272" t="s">
        <v>3</v>
      </c>
      <c r="J1272">
        <v>3</v>
      </c>
      <c r="K1272" t="s">
        <v>4</v>
      </c>
      <c r="L1272" t="s">
        <v>88</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1355</v>
      </c>
      <c r="B1273" t="s">
        <v>113</v>
      </c>
      <c r="C1273">
        <v>2</v>
      </c>
      <c r="D1273">
        <v>51</v>
      </c>
      <c r="E1273">
        <v>102</v>
      </c>
      <c r="F1273" s="1">
        <v>45706</v>
      </c>
      <c r="G1273" s="1">
        <v>45706</v>
      </c>
      <c r="H1273" t="s">
        <v>8</v>
      </c>
      <c r="I1273" t="s">
        <v>20</v>
      </c>
      <c r="J1273">
        <v>4</v>
      </c>
      <c r="K1273" t="s">
        <v>4</v>
      </c>
      <c r="L1273" t="s">
        <v>186</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1356</v>
      </c>
      <c r="B1274" t="s">
        <v>17</v>
      </c>
      <c r="C1274">
        <v>2</v>
      </c>
      <c r="D1274">
        <v>23.1</v>
      </c>
      <c r="E1274">
        <v>46.2</v>
      </c>
      <c r="F1274" s="1">
        <v>45706</v>
      </c>
      <c r="G1274" s="1">
        <v>45709</v>
      </c>
      <c r="H1274" t="s">
        <v>8</v>
      </c>
      <c r="I1274" t="s">
        <v>20</v>
      </c>
      <c r="J1274">
        <v>4</v>
      </c>
      <c r="K1274" t="s">
        <v>4</v>
      </c>
      <c r="L1274" t="s">
        <v>59</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1357</v>
      </c>
      <c r="B1275" t="s">
        <v>54</v>
      </c>
      <c r="C1275">
        <v>6</v>
      </c>
      <c r="D1275">
        <v>60.1</v>
      </c>
      <c r="E1275">
        <v>360.6</v>
      </c>
      <c r="F1275" s="1">
        <v>45706</v>
      </c>
      <c r="G1275" s="1">
        <v>45706</v>
      </c>
      <c r="H1275" t="s">
        <v>12</v>
      </c>
      <c r="I1275" t="s">
        <v>36</v>
      </c>
      <c r="J1275">
        <v>4</v>
      </c>
      <c r="K1275" t="s">
        <v>4</v>
      </c>
      <c r="L1275" t="s">
        <v>62</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1358</v>
      </c>
      <c r="B1276" t="s">
        <v>11</v>
      </c>
      <c r="C1276">
        <v>7</v>
      </c>
      <c r="D1276">
        <v>87.5</v>
      </c>
      <c r="E1276">
        <v>612.5</v>
      </c>
      <c r="F1276" s="1">
        <v>45706</v>
      </c>
      <c r="G1276" s="1">
        <v>45708</v>
      </c>
      <c r="H1276" t="s">
        <v>12</v>
      </c>
      <c r="I1276" t="s">
        <v>3</v>
      </c>
      <c r="J1276">
        <v>3</v>
      </c>
      <c r="K1276" t="s">
        <v>4</v>
      </c>
      <c r="L1276" t="s">
        <v>62</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1359</v>
      </c>
      <c r="B1277" t="s">
        <v>7</v>
      </c>
      <c r="C1277">
        <v>3</v>
      </c>
      <c r="D1277">
        <v>51</v>
      </c>
      <c r="E1277">
        <v>153</v>
      </c>
      <c r="F1277" s="1">
        <v>45706</v>
      </c>
      <c r="G1277" s="1">
        <v>45707</v>
      </c>
      <c r="H1277" t="s">
        <v>12</v>
      </c>
      <c r="I1277" t="s">
        <v>20</v>
      </c>
      <c r="J1277">
        <v>4</v>
      </c>
      <c r="K1277" t="s">
        <v>4</v>
      </c>
      <c r="L1277" t="s">
        <v>62</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1360</v>
      </c>
      <c r="B1278" t="s">
        <v>29</v>
      </c>
      <c r="C1278">
        <v>4</v>
      </c>
      <c r="D1278">
        <v>19.2</v>
      </c>
      <c r="E1278">
        <v>76.8</v>
      </c>
      <c r="F1278" s="1">
        <v>45706</v>
      </c>
      <c r="G1278" s="1">
        <v>45708</v>
      </c>
      <c r="H1278" t="s">
        <v>12</v>
      </c>
      <c r="I1278" t="s">
        <v>3</v>
      </c>
      <c r="J1278">
        <v>4</v>
      </c>
      <c r="K1278" t="s">
        <v>4</v>
      </c>
      <c r="L1278" t="s">
        <v>62</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1361</v>
      </c>
      <c r="B1279" t="s">
        <v>22</v>
      </c>
      <c r="C1279">
        <v>8</v>
      </c>
      <c r="D1279">
        <v>26.5</v>
      </c>
      <c r="E1279">
        <v>212</v>
      </c>
      <c r="F1279" s="1">
        <v>45706</v>
      </c>
      <c r="G1279" s="1">
        <v>45707</v>
      </c>
      <c r="H1279" t="s">
        <v>2</v>
      </c>
      <c r="I1279" t="s">
        <v>36</v>
      </c>
      <c r="J1279">
        <v>5</v>
      </c>
      <c r="K1279" t="s">
        <v>4</v>
      </c>
      <c r="L1279" t="s">
        <v>62</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1362</v>
      </c>
      <c r="B1280" t="s">
        <v>11</v>
      </c>
      <c r="C1280">
        <v>2</v>
      </c>
      <c r="D1280">
        <v>220.3</v>
      </c>
      <c r="E1280">
        <v>440.6</v>
      </c>
      <c r="F1280" s="1">
        <v>45706</v>
      </c>
      <c r="G1280" s="1">
        <v>45707</v>
      </c>
      <c r="H1280" t="s">
        <v>12</v>
      </c>
      <c r="I1280" t="s">
        <v>20</v>
      </c>
      <c r="J1280">
        <v>2</v>
      </c>
      <c r="K1280" t="s">
        <v>4</v>
      </c>
      <c r="L1280" t="s">
        <v>1101</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1363</v>
      </c>
      <c r="B1281" t="s">
        <v>29</v>
      </c>
      <c r="C1281">
        <v>3</v>
      </c>
      <c r="D1281">
        <v>45.7</v>
      </c>
      <c r="E1281">
        <v>137.10000000000002</v>
      </c>
      <c r="F1281" s="1">
        <v>45706</v>
      </c>
      <c r="G1281" s="1">
        <v>45707</v>
      </c>
      <c r="H1281" t="s">
        <v>12</v>
      </c>
      <c r="I1281" t="s">
        <v>55</v>
      </c>
      <c r="J1281">
        <v>4</v>
      </c>
      <c r="K1281" t="s">
        <v>4</v>
      </c>
      <c r="L1281" t="s">
        <v>253</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1364</v>
      </c>
      <c r="B1282" t="s">
        <v>22</v>
      </c>
      <c r="C1282">
        <v>5</v>
      </c>
      <c r="D1282">
        <v>47.1</v>
      </c>
      <c r="E1282">
        <v>235.5</v>
      </c>
      <c r="F1282" s="1">
        <v>45706</v>
      </c>
      <c r="G1282" s="1">
        <v>45710</v>
      </c>
      <c r="H1282" t="s">
        <v>12</v>
      </c>
      <c r="I1282" t="s">
        <v>36</v>
      </c>
      <c r="J1282">
        <v>4</v>
      </c>
      <c r="K1282" t="s">
        <v>4</v>
      </c>
      <c r="L1282" t="s">
        <v>67</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1365</v>
      </c>
      <c r="B1283" t="s">
        <v>7</v>
      </c>
      <c r="C1283">
        <v>5</v>
      </c>
      <c r="D1283">
        <v>81.7</v>
      </c>
      <c r="E1283">
        <v>408.5</v>
      </c>
      <c r="F1283" s="1">
        <v>45706</v>
      </c>
      <c r="G1283" s="1">
        <v>45707</v>
      </c>
      <c r="H1283" t="s">
        <v>12</v>
      </c>
      <c r="I1283" t="s">
        <v>3</v>
      </c>
      <c r="J1283">
        <v>5</v>
      </c>
      <c r="K1283" t="s">
        <v>4</v>
      </c>
      <c r="L1283" t="s">
        <v>100</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1366</v>
      </c>
      <c r="B1284" t="s">
        <v>24</v>
      </c>
      <c r="C1284">
        <v>10</v>
      </c>
      <c r="D1284">
        <v>97.8</v>
      </c>
      <c r="E1284">
        <v>978</v>
      </c>
      <c r="F1284" s="1">
        <v>45706</v>
      </c>
      <c r="G1284" s="1">
        <v>45706</v>
      </c>
      <c r="H1284" t="s">
        <v>8</v>
      </c>
      <c r="I1284" t="s">
        <v>20</v>
      </c>
      <c r="J1284">
        <v>3</v>
      </c>
      <c r="K1284" t="s">
        <v>4</v>
      </c>
      <c r="L1284" t="s">
        <v>100</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1367</v>
      </c>
      <c r="B1285" t="s">
        <v>24</v>
      </c>
      <c r="C1285">
        <v>3</v>
      </c>
      <c r="D1285">
        <v>42.4</v>
      </c>
      <c r="E1285">
        <v>127.19999999999999</v>
      </c>
      <c r="F1285" s="1">
        <v>45706</v>
      </c>
      <c r="G1285" s="1">
        <v>45707</v>
      </c>
      <c r="H1285" t="s">
        <v>12</v>
      </c>
      <c r="I1285" t="s">
        <v>3</v>
      </c>
      <c r="J1285">
        <v>5</v>
      </c>
      <c r="K1285" t="s">
        <v>4</v>
      </c>
      <c r="L1285" t="s">
        <v>1368</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1369</v>
      </c>
      <c r="B1286" t="s">
        <v>11</v>
      </c>
      <c r="C1286">
        <v>10</v>
      </c>
      <c r="D1286">
        <v>74.5</v>
      </c>
      <c r="E1286">
        <v>745</v>
      </c>
      <c r="F1286" s="1">
        <v>45706</v>
      </c>
      <c r="G1286" s="1">
        <v>45707</v>
      </c>
      <c r="H1286" t="s">
        <v>8</v>
      </c>
      <c r="I1286" t="s">
        <v>25</v>
      </c>
      <c r="J1286">
        <v>3</v>
      </c>
      <c r="K1286" t="s">
        <v>4</v>
      </c>
      <c r="L1286" t="s">
        <v>9</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1370</v>
      </c>
      <c r="B1287" t="s">
        <v>120</v>
      </c>
      <c r="C1287">
        <v>6</v>
      </c>
      <c r="D1287">
        <v>47.4</v>
      </c>
      <c r="E1287">
        <v>284.39999999999998</v>
      </c>
      <c r="F1287" s="1">
        <v>45706</v>
      </c>
      <c r="G1287" s="1">
        <v>45707</v>
      </c>
      <c r="H1287" t="s">
        <v>8</v>
      </c>
      <c r="I1287" t="s">
        <v>20</v>
      </c>
      <c r="J1287">
        <v>4</v>
      </c>
      <c r="K1287" t="s">
        <v>4</v>
      </c>
      <c r="L1287" t="s">
        <v>9</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1371</v>
      </c>
      <c r="B1288" t="s">
        <v>66</v>
      </c>
      <c r="C1288">
        <v>3</v>
      </c>
      <c r="D1288">
        <v>17.3</v>
      </c>
      <c r="E1288">
        <v>51.900000000000006</v>
      </c>
      <c r="F1288" s="1">
        <v>45707</v>
      </c>
      <c r="G1288" s="1">
        <v>45710</v>
      </c>
      <c r="H1288" t="s">
        <v>8</v>
      </c>
      <c r="I1288" t="s">
        <v>25</v>
      </c>
      <c r="J1288">
        <v>5</v>
      </c>
      <c r="K1288" t="s">
        <v>4</v>
      </c>
      <c r="L1288" t="s">
        <v>9</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1372</v>
      </c>
      <c r="B1289" t="s">
        <v>54</v>
      </c>
      <c r="C1289">
        <v>4</v>
      </c>
      <c r="D1289">
        <v>77.900000000000006</v>
      </c>
      <c r="E1289">
        <v>311.60000000000002</v>
      </c>
      <c r="F1289" s="1">
        <v>45707</v>
      </c>
      <c r="G1289" s="1">
        <v>45708</v>
      </c>
      <c r="H1289" t="s">
        <v>8</v>
      </c>
      <c r="I1289" t="s">
        <v>20</v>
      </c>
      <c r="J1289">
        <v>4</v>
      </c>
      <c r="K1289" t="s">
        <v>4</v>
      </c>
      <c r="L1289" t="s">
        <v>13</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1373</v>
      </c>
      <c r="B1290" t="s">
        <v>29</v>
      </c>
      <c r="C1290">
        <v>1</v>
      </c>
      <c r="D1290">
        <v>29.1</v>
      </c>
      <c r="E1290">
        <v>29.1</v>
      </c>
      <c r="F1290" s="1">
        <v>45707</v>
      </c>
      <c r="G1290" s="1">
        <v>45710</v>
      </c>
      <c r="H1290" t="s">
        <v>8</v>
      </c>
      <c r="I1290" t="s">
        <v>3</v>
      </c>
      <c r="J1290">
        <v>5</v>
      </c>
      <c r="K1290" t="s">
        <v>4</v>
      </c>
      <c r="L1290" t="s">
        <v>934</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1374</v>
      </c>
      <c r="B1291" t="s">
        <v>29</v>
      </c>
      <c r="C1291">
        <v>1</v>
      </c>
      <c r="D1291">
        <v>49</v>
      </c>
      <c r="E1291">
        <v>49</v>
      </c>
      <c r="F1291" s="1">
        <v>45707</v>
      </c>
      <c r="G1291" s="1">
        <v>45708</v>
      </c>
      <c r="H1291" t="s">
        <v>8</v>
      </c>
      <c r="I1291" t="s">
        <v>20</v>
      </c>
      <c r="J1291">
        <v>4</v>
      </c>
      <c r="K1291" t="s">
        <v>4</v>
      </c>
      <c r="L1291" t="s">
        <v>18</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1375</v>
      </c>
      <c r="B1292" t="s">
        <v>29</v>
      </c>
      <c r="C1292">
        <v>6</v>
      </c>
      <c r="D1292">
        <v>21.1</v>
      </c>
      <c r="E1292">
        <v>126.60000000000001</v>
      </c>
      <c r="F1292" s="1">
        <v>45707</v>
      </c>
      <c r="G1292" s="1">
        <v>45714</v>
      </c>
      <c r="H1292" t="s">
        <v>8</v>
      </c>
      <c r="I1292" t="s">
        <v>3</v>
      </c>
      <c r="J1292">
        <v>5</v>
      </c>
      <c r="K1292" t="s">
        <v>4</v>
      </c>
      <c r="L1292" t="s">
        <v>18</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1376</v>
      </c>
      <c r="B1293" t="s">
        <v>17</v>
      </c>
      <c r="C1293">
        <v>19</v>
      </c>
      <c r="D1293">
        <v>36.9</v>
      </c>
      <c r="E1293">
        <v>701.1</v>
      </c>
      <c r="F1293" s="1">
        <v>45707</v>
      </c>
      <c r="G1293" s="1">
        <v>45707</v>
      </c>
      <c r="H1293" t="s">
        <v>12</v>
      </c>
      <c r="I1293" t="s">
        <v>3</v>
      </c>
      <c r="J1293">
        <v>4</v>
      </c>
      <c r="K1293" t="s">
        <v>4</v>
      </c>
      <c r="L1293" t="s">
        <v>18</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1377</v>
      </c>
      <c r="B1294" t="s">
        <v>7</v>
      </c>
      <c r="C1294">
        <v>10</v>
      </c>
      <c r="D1294">
        <v>92.6</v>
      </c>
      <c r="E1294">
        <v>926</v>
      </c>
      <c r="F1294" s="1">
        <v>45707</v>
      </c>
      <c r="G1294" s="1">
        <v>45712</v>
      </c>
      <c r="H1294" t="s">
        <v>8</v>
      </c>
      <c r="I1294" t="s">
        <v>55</v>
      </c>
      <c r="J1294">
        <v>5</v>
      </c>
      <c r="K1294" t="s">
        <v>4</v>
      </c>
      <c r="L1294" t="s">
        <v>18</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1378</v>
      </c>
      <c r="B1295" t="s">
        <v>39</v>
      </c>
      <c r="C1295">
        <v>2</v>
      </c>
      <c r="D1295">
        <v>38</v>
      </c>
      <c r="E1295">
        <v>76</v>
      </c>
      <c r="F1295" s="1">
        <v>45707</v>
      </c>
      <c r="G1295" s="1">
        <v>45708</v>
      </c>
      <c r="H1295" t="s">
        <v>8</v>
      </c>
      <c r="I1295" t="s">
        <v>20</v>
      </c>
      <c r="J1295">
        <v>3</v>
      </c>
      <c r="K1295" t="s">
        <v>4</v>
      </c>
      <c r="L1295" t="s">
        <v>18</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1379</v>
      </c>
      <c r="B1296" t="s">
        <v>22</v>
      </c>
      <c r="C1296">
        <v>3</v>
      </c>
      <c r="D1296">
        <v>54.8</v>
      </c>
      <c r="E1296">
        <v>164.39999999999998</v>
      </c>
      <c r="F1296" s="1">
        <v>45707</v>
      </c>
      <c r="G1296" s="1">
        <v>45711</v>
      </c>
      <c r="H1296" t="s">
        <v>2</v>
      </c>
      <c r="I1296" t="s">
        <v>3</v>
      </c>
      <c r="J1296">
        <v>3</v>
      </c>
      <c r="K1296" t="s">
        <v>4</v>
      </c>
      <c r="L1296" t="s">
        <v>18</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1380</v>
      </c>
      <c r="B1297" t="s">
        <v>39</v>
      </c>
      <c r="C1297">
        <v>12</v>
      </c>
      <c r="D1297">
        <v>56.8</v>
      </c>
      <c r="E1297">
        <v>681.59999999999991</v>
      </c>
      <c r="F1297" s="1">
        <v>45707</v>
      </c>
      <c r="G1297" s="1">
        <v>45709</v>
      </c>
      <c r="H1297" t="s">
        <v>8</v>
      </c>
      <c r="I1297" t="s">
        <v>20</v>
      </c>
      <c r="J1297">
        <v>4</v>
      </c>
      <c r="K1297" t="s">
        <v>4</v>
      </c>
      <c r="L1297" t="s">
        <v>18</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1381</v>
      </c>
      <c r="B1298" t="s">
        <v>52</v>
      </c>
      <c r="C1298">
        <v>33</v>
      </c>
      <c r="D1298">
        <v>47.2</v>
      </c>
      <c r="E1298">
        <v>1557.6000000000001</v>
      </c>
      <c r="F1298" s="1">
        <v>45707</v>
      </c>
      <c r="G1298" s="1">
        <v>45710</v>
      </c>
      <c r="H1298" t="s">
        <v>12</v>
      </c>
      <c r="I1298" t="s">
        <v>20</v>
      </c>
      <c r="J1298">
        <v>4</v>
      </c>
      <c r="K1298" t="s">
        <v>4</v>
      </c>
      <c r="L1298" t="s">
        <v>18</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1382</v>
      </c>
      <c r="B1299" t="s">
        <v>27</v>
      </c>
      <c r="C1299">
        <v>6</v>
      </c>
      <c r="D1299">
        <v>45.1</v>
      </c>
      <c r="E1299">
        <v>270.60000000000002</v>
      </c>
      <c r="F1299" s="1">
        <v>45707</v>
      </c>
      <c r="G1299" s="1">
        <v>45708</v>
      </c>
      <c r="H1299" t="s">
        <v>12</v>
      </c>
      <c r="I1299" t="s">
        <v>25</v>
      </c>
      <c r="J1299">
        <v>4</v>
      </c>
      <c r="K1299" t="s">
        <v>4</v>
      </c>
      <c r="L1299" t="s">
        <v>530</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1383</v>
      </c>
      <c r="B1300" t="s">
        <v>17</v>
      </c>
      <c r="C1300">
        <v>12</v>
      </c>
      <c r="D1300">
        <v>25.2</v>
      </c>
      <c r="E1300">
        <v>302.39999999999998</v>
      </c>
      <c r="F1300" s="1">
        <v>45707</v>
      </c>
      <c r="G1300" s="1">
        <v>45712</v>
      </c>
      <c r="H1300" t="s">
        <v>12</v>
      </c>
      <c r="I1300" t="s">
        <v>25</v>
      </c>
      <c r="J1300">
        <v>4</v>
      </c>
      <c r="K1300" t="s">
        <v>4</v>
      </c>
      <c r="L1300" t="s">
        <v>83</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1384</v>
      </c>
      <c r="B1301" t="s">
        <v>29</v>
      </c>
      <c r="C1301">
        <v>1</v>
      </c>
      <c r="D1301">
        <v>22</v>
      </c>
      <c r="E1301">
        <v>22</v>
      </c>
      <c r="F1301" s="1">
        <v>45707</v>
      </c>
      <c r="G1301" s="1">
        <v>45708</v>
      </c>
      <c r="H1301" t="s">
        <v>12</v>
      </c>
      <c r="I1301" t="s">
        <v>3</v>
      </c>
      <c r="J1301">
        <v>4</v>
      </c>
      <c r="K1301" t="s">
        <v>4</v>
      </c>
      <c r="L1301" t="s">
        <v>37</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1385</v>
      </c>
      <c r="B1302" t="s">
        <v>24</v>
      </c>
      <c r="C1302">
        <v>2</v>
      </c>
      <c r="D1302">
        <v>42.2</v>
      </c>
      <c r="E1302">
        <v>84.4</v>
      </c>
      <c r="F1302" s="1">
        <v>45707</v>
      </c>
      <c r="G1302" s="1">
        <v>45708</v>
      </c>
      <c r="H1302" t="s">
        <v>12</v>
      </c>
      <c r="I1302" t="s">
        <v>20</v>
      </c>
      <c r="J1302">
        <v>3</v>
      </c>
      <c r="K1302" t="s">
        <v>4</v>
      </c>
      <c r="L1302" t="s">
        <v>143</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1386</v>
      </c>
      <c r="B1303" t="s">
        <v>61</v>
      </c>
      <c r="C1303">
        <v>3</v>
      </c>
      <c r="D1303">
        <v>20.5</v>
      </c>
      <c r="E1303">
        <v>61.5</v>
      </c>
      <c r="F1303" s="1">
        <v>45707</v>
      </c>
      <c r="G1303" s="1">
        <v>45708</v>
      </c>
      <c r="H1303" t="s">
        <v>8</v>
      </c>
      <c r="I1303" t="s">
        <v>3</v>
      </c>
      <c r="J1303">
        <v>3</v>
      </c>
      <c r="K1303" t="s">
        <v>4</v>
      </c>
      <c r="L1303" t="s">
        <v>40</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1387</v>
      </c>
      <c r="B1304" t="s">
        <v>11</v>
      </c>
      <c r="C1304">
        <v>1</v>
      </c>
      <c r="D1304">
        <v>190.4</v>
      </c>
      <c r="E1304">
        <v>190.4</v>
      </c>
      <c r="F1304" s="1">
        <v>45707</v>
      </c>
      <c r="G1304" s="1">
        <v>45712</v>
      </c>
      <c r="H1304" t="s">
        <v>8</v>
      </c>
      <c r="I1304" t="s">
        <v>20</v>
      </c>
      <c r="J1304">
        <v>2</v>
      </c>
      <c r="K1304" t="s">
        <v>4</v>
      </c>
      <c r="L1304" t="s">
        <v>40</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1388</v>
      </c>
      <c r="B1305" t="s">
        <v>11</v>
      </c>
      <c r="C1305">
        <v>1</v>
      </c>
      <c r="D1305">
        <v>121.9</v>
      </c>
      <c r="E1305">
        <v>121.9</v>
      </c>
      <c r="F1305" s="1">
        <v>45707</v>
      </c>
      <c r="G1305" s="1">
        <v>45709</v>
      </c>
      <c r="H1305" t="s">
        <v>12</v>
      </c>
      <c r="I1305" t="s">
        <v>20</v>
      </c>
      <c r="J1305">
        <v>5</v>
      </c>
      <c r="K1305" t="s">
        <v>4</v>
      </c>
      <c r="L1305" t="s">
        <v>40</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1389</v>
      </c>
      <c r="B1306" t="s">
        <v>11</v>
      </c>
      <c r="C1306">
        <v>6</v>
      </c>
      <c r="D1306">
        <v>149.19999999999999</v>
      </c>
      <c r="E1306">
        <v>895.19999999999993</v>
      </c>
      <c r="F1306" s="1">
        <v>45707</v>
      </c>
      <c r="G1306" s="1">
        <v>45708</v>
      </c>
      <c r="H1306" t="s">
        <v>12</v>
      </c>
      <c r="I1306" t="s">
        <v>25</v>
      </c>
      <c r="J1306">
        <v>5</v>
      </c>
      <c r="K1306" t="s">
        <v>4</v>
      </c>
      <c r="L1306" t="s">
        <v>44</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1390</v>
      </c>
      <c r="B1307" t="s">
        <v>11</v>
      </c>
      <c r="C1307">
        <v>1</v>
      </c>
      <c r="D1307">
        <v>54.1</v>
      </c>
      <c r="E1307">
        <v>54.1</v>
      </c>
      <c r="F1307" s="1">
        <v>45707</v>
      </c>
      <c r="G1307" s="1">
        <v>45716</v>
      </c>
      <c r="H1307" t="s">
        <v>12</v>
      </c>
      <c r="I1307" t="s">
        <v>25</v>
      </c>
      <c r="J1307">
        <v>5</v>
      </c>
      <c r="K1307" t="s">
        <v>4</v>
      </c>
      <c r="L1307" t="s">
        <v>44</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1391</v>
      </c>
      <c r="B1308" t="s">
        <v>22</v>
      </c>
      <c r="C1308">
        <v>2</v>
      </c>
      <c r="D1308">
        <v>27.4</v>
      </c>
      <c r="E1308">
        <v>54.8</v>
      </c>
      <c r="F1308" s="1">
        <v>45707</v>
      </c>
      <c r="G1308" s="1">
        <v>45709</v>
      </c>
      <c r="H1308" t="s">
        <v>8</v>
      </c>
      <c r="I1308" t="s">
        <v>20</v>
      </c>
      <c r="J1308">
        <v>4</v>
      </c>
      <c r="K1308" t="s">
        <v>4</v>
      </c>
      <c r="L1308" t="s">
        <v>47</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1392</v>
      </c>
      <c r="B1309" t="s">
        <v>1</v>
      </c>
      <c r="C1309">
        <v>13</v>
      </c>
      <c r="D1309">
        <v>30.4</v>
      </c>
      <c r="E1309">
        <v>395.2</v>
      </c>
      <c r="F1309" s="1">
        <v>45707</v>
      </c>
      <c r="G1309" s="1">
        <v>45708</v>
      </c>
      <c r="H1309" t="s">
        <v>12</v>
      </c>
      <c r="I1309" t="s">
        <v>3</v>
      </c>
      <c r="J1309">
        <v>5</v>
      </c>
      <c r="K1309" t="s">
        <v>4</v>
      </c>
      <c r="L1309" t="s">
        <v>47</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1393</v>
      </c>
      <c r="B1310" t="s">
        <v>54</v>
      </c>
      <c r="C1310">
        <v>3</v>
      </c>
      <c r="D1310">
        <v>46.2</v>
      </c>
      <c r="E1310">
        <v>138.60000000000002</v>
      </c>
      <c r="F1310" s="1">
        <v>45707</v>
      </c>
      <c r="G1310" s="1">
        <v>45709</v>
      </c>
      <c r="H1310" t="s">
        <v>8</v>
      </c>
      <c r="I1310" t="s">
        <v>25</v>
      </c>
      <c r="J1310">
        <v>3</v>
      </c>
      <c r="K1310" t="s">
        <v>4</v>
      </c>
      <c r="L1310" t="s">
        <v>88</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1394</v>
      </c>
      <c r="B1311" t="s">
        <v>27</v>
      </c>
      <c r="C1311">
        <v>8</v>
      </c>
      <c r="D1311">
        <v>78.599999999999994</v>
      </c>
      <c r="E1311">
        <v>628.79999999999995</v>
      </c>
      <c r="F1311" s="1">
        <v>45707</v>
      </c>
      <c r="G1311" s="1">
        <v>45711</v>
      </c>
      <c r="H1311" t="s">
        <v>8</v>
      </c>
      <c r="I1311" t="s">
        <v>36</v>
      </c>
      <c r="J1311">
        <v>4</v>
      </c>
      <c r="K1311" t="s">
        <v>4</v>
      </c>
      <c r="L1311" t="s">
        <v>88</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1395</v>
      </c>
      <c r="B1312" t="s">
        <v>120</v>
      </c>
      <c r="C1312">
        <v>10</v>
      </c>
      <c r="D1312">
        <v>25.9</v>
      </c>
      <c r="E1312">
        <v>259</v>
      </c>
      <c r="F1312" s="1">
        <v>45707</v>
      </c>
      <c r="G1312" s="1">
        <v>45713</v>
      </c>
      <c r="H1312" t="s">
        <v>8</v>
      </c>
      <c r="I1312" t="s">
        <v>55</v>
      </c>
      <c r="J1312">
        <v>4</v>
      </c>
      <c r="K1312" t="s">
        <v>4</v>
      </c>
      <c r="L1312" t="s">
        <v>57</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1396</v>
      </c>
      <c r="B1313" t="s">
        <v>24</v>
      </c>
      <c r="C1313">
        <v>1</v>
      </c>
      <c r="D1313">
        <v>134.80000000000001</v>
      </c>
      <c r="E1313">
        <v>134.80000000000001</v>
      </c>
      <c r="F1313" s="1">
        <v>45707</v>
      </c>
      <c r="G1313" s="1">
        <v>45709</v>
      </c>
      <c r="H1313" t="s">
        <v>8</v>
      </c>
      <c r="I1313" t="s">
        <v>25</v>
      </c>
      <c r="J1313">
        <v>5</v>
      </c>
      <c r="K1313" t="s">
        <v>4</v>
      </c>
      <c r="L1313" t="s">
        <v>57</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1397</v>
      </c>
      <c r="B1314" t="s">
        <v>108</v>
      </c>
      <c r="C1314">
        <v>5</v>
      </c>
      <c r="D1314">
        <v>43.1</v>
      </c>
      <c r="E1314">
        <v>215.5</v>
      </c>
      <c r="F1314" s="1">
        <v>45707</v>
      </c>
      <c r="G1314" s="1">
        <v>45709</v>
      </c>
      <c r="H1314" t="s">
        <v>12</v>
      </c>
      <c r="I1314" t="s">
        <v>3</v>
      </c>
      <c r="J1314">
        <v>4</v>
      </c>
      <c r="K1314" t="s">
        <v>4</v>
      </c>
      <c r="L1314" t="s">
        <v>62</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1398</v>
      </c>
      <c r="B1315" t="s">
        <v>11</v>
      </c>
      <c r="C1315">
        <v>2</v>
      </c>
      <c r="D1315">
        <v>215.6</v>
      </c>
      <c r="E1315">
        <v>431.2</v>
      </c>
      <c r="F1315" s="1">
        <v>45707</v>
      </c>
      <c r="G1315" s="1">
        <v>45708</v>
      </c>
      <c r="H1315" t="s">
        <v>12</v>
      </c>
      <c r="I1315" t="s">
        <v>25</v>
      </c>
      <c r="J1315">
        <v>4</v>
      </c>
      <c r="K1315" t="s">
        <v>4</v>
      </c>
      <c r="L1315" t="s">
        <v>93</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1399</v>
      </c>
      <c r="B1316" t="s">
        <v>24</v>
      </c>
      <c r="C1316">
        <v>2</v>
      </c>
      <c r="D1316">
        <v>80.7</v>
      </c>
      <c r="E1316">
        <v>161.4</v>
      </c>
      <c r="F1316" s="1">
        <v>45707</v>
      </c>
      <c r="G1316" s="1">
        <v>45710</v>
      </c>
      <c r="H1316" t="s">
        <v>12</v>
      </c>
      <c r="I1316" t="s">
        <v>36</v>
      </c>
      <c r="J1316">
        <v>4</v>
      </c>
      <c r="K1316" t="s">
        <v>4</v>
      </c>
      <c r="L1316" t="s">
        <v>93</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1400</v>
      </c>
      <c r="B1317" t="s">
        <v>39</v>
      </c>
      <c r="C1317">
        <v>7</v>
      </c>
      <c r="D1317">
        <v>20.6</v>
      </c>
      <c r="E1317">
        <v>144.20000000000002</v>
      </c>
      <c r="F1317" s="1">
        <v>45707</v>
      </c>
      <c r="G1317" s="1">
        <v>45712</v>
      </c>
      <c r="H1317" t="s">
        <v>2</v>
      </c>
      <c r="I1317" t="s">
        <v>25</v>
      </c>
      <c r="J1317">
        <v>3</v>
      </c>
      <c r="K1317" t="s">
        <v>4</v>
      </c>
      <c r="L1317" t="s">
        <v>95</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1401</v>
      </c>
      <c r="B1318" t="s">
        <v>54</v>
      </c>
      <c r="C1318">
        <v>3</v>
      </c>
      <c r="D1318">
        <v>37.1</v>
      </c>
      <c r="E1318">
        <v>111.30000000000001</v>
      </c>
      <c r="F1318" s="1">
        <v>45707</v>
      </c>
      <c r="G1318" s="1">
        <v>45708</v>
      </c>
      <c r="H1318" t="s">
        <v>12</v>
      </c>
      <c r="I1318" t="s">
        <v>3</v>
      </c>
      <c r="J1318">
        <v>4</v>
      </c>
      <c r="K1318" t="s">
        <v>4</v>
      </c>
      <c r="L1318" t="s">
        <v>982</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1402</v>
      </c>
      <c r="B1319" t="s">
        <v>54</v>
      </c>
      <c r="C1319">
        <v>1</v>
      </c>
      <c r="D1319">
        <v>104.8</v>
      </c>
      <c r="E1319">
        <v>104.8</v>
      </c>
      <c r="F1319" s="1">
        <v>45708</v>
      </c>
      <c r="G1319" s="1">
        <v>45710</v>
      </c>
      <c r="H1319" t="s">
        <v>12</v>
      </c>
      <c r="I1319" t="s">
        <v>3</v>
      </c>
      <c r="J1319">
        <v>4</v>
      </c>
      <c r="K1319" t="s">
        <v>4</v>
      </c>
      <c r="L1319" t="s">
        <v>67</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1403</v>
      </c>
      <c r="B1320" t="s">
        <v>29</v>
      </c>
      <c r="C1320">
        <v>2</v>
      </c>
      <c r="D1320">
        <v>59</v>
      </c>
      <c r="E1320">
        <v>118</v>
      </c>
      <c r="F1320" s="1">
        <v>45708</v>
      </c>
      <c r="G1320" s="1">
        <v>45709</v>
      </c>
      <c r="H1320" t="s">
        <v>8</v>
      </c>
      <c r="I1320" t="s">
        <v>20</v>
      </c>
      <c r="J1320">
        <v>4</v>
      </c>
      <c r="K1320" t="s">
        <v>4</v>
      </c>
      <c r="L1320" t="s">
        <v>100</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1404</v>
      </c>
      <c r="B1321" t="s">
        <v>29</v>
      </c>
      <c r="C1321">
        <v>2</v>
      </c>
      <c r="D1321">
        <v>32.299999999999997</v>
      </c>
      <c r="E1321">
        <v>64.599999999999994</v>
      </c>
      <c r="F1321" s="1">
        <v>45708</v>
      </c>
      <c r="G1321" s="1">
        <v>45709</v>
      </c>
      <c r="H1321" t="s">
        <v>8</v>
      </c>
      <c r="I1321" t="s">
        <v>3</v>
      </c>
      <c r="J1321">
        <v>5</v>
      </c>
      <c r="K1321" t="s">
        <v>4</v>
      </c>
      <c r="L1321" t="s">
        <v>100</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1405</v>
      </c>
      <c r="B1322" t="s">
        <v>29</v>
      </c>
      <c r="C1322">
        <v>4</v>
      </c>
      <c r="D1322">
        <v>28.9</v>
      </c>
      <c r="E1322">
        <v>115.6</v>
      </c>
      <c r="F1322" s="1">
        <v>45708</v>
      </c>
      <c r="G1322" s="1">
        <v>45715</v>
      </c>
      <c r="H1322" t="s">
        <v>8</v>
      </c>
      <c r="I1322" t="s">
        <v>3</v>
      </c>
      <c r="J1322">
        <v>4</v>
      </c>
      <c r="K1322" t="s">
        <v>4</v>
      </c>
      <c r="L1322" t="s">
        <v>9</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1406</v>
      </c>
      <c r="B1323" t="s">
        <v>1</v>
      </c>
      <c r="C1323">
        <v>2</v>
      </c>
      <c r="D1323">
        <v>29.6</v>
      </c>
      <c r="E1323">
        <v>59.2</v>
      </c>
      <c r="F1323" s="1">
        <v>45708</v>
      </c>
      <c r="G1323" s="1">
        <v>45710</v>
      </c>
      <c r="H1323" t="s">
        <v>8</v>
      </c>
      <c r="I1323" t="s">
        <v>3</v>
      </c>
      <c r="J1323">
        <v>4</v>
      </c>
      <c r="K1323" t="s">
        <v>4</v>
      </c>
      <c r="L1323" t="s">
        <v>9</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1407</v>
      </c>
      <c r="B1324" t="s">
        <v>1</v>
      </c>
      <c r="C1324">
        <v>5</v>
      </c>
      <c r="D1324">
        <v>29.4</v>
      </c>
      <c r="E1324">
        <v>147</v>
      </c>
      <c r="F1324" s="1">
        <v>45708</v>
      </c>
      <c r="G1324" s="1">
        <v>45711</v>
      </c>
      <c r="H1324" t="s">
        <v>12</v>
      </c>
      <c r="I1324" t="s">
        <v>3</v>
      </c>
      <c r="J1324">
        <v>4</v>
      </c>
      <c r="K1324" t="s">
        <v>4</v>
      </c>
      <c r="L1324" t="s">
        <v>9</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1408</v>
      </c>
      <c r="B1325" t="s">
        <v>7</v>
      </c>
      <c r="C1325">
        <v>2</v>
      </c>
      <c r="D1325">
        <v>40.6</v>
      </c>
      <c r="E1325">
        <v>81.2</v>
      </c>
      <c r="F1325" s="1">
        <v>45708</v>
      </c>
      <c r="G1325" s="1">
        <v>45709</v>
      </c>
      <c r="H1325" t="s">
        <v>8</v>
      </c>
      <c r="I1325" t="s">
        <v>3</v>
      </c>
      <c r="J1325">
        <v>2</v>
      </c>
      <c r="K1325" t="s">
        <v>4</v>
      </c>
      <c r="L1325" t="s">
        <v>13</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1409</v>
      </c>
      <c r="B1326" t="s">
        <v>1</v>
      </c>
      <c r="C1326">
        <v>3</v>
      </c>
      <c r="D1326">
        <v>32.5</v>
      </c>
      <c r="E1326">
        <v>97.5</v>
      </c>
      <c r="F1326" s="1">
        <v>45708</v>
      </c>
      <c r="G1326" s="1">
        <v>45709</v>
      </c>
      <c r="H1326" t="s">
        <v>8</v>
      </c>
      <c r="I1326" t="s">
        <v>36</v>
      </c>
      <c r="J1326">
        <v>5</v>
      </c>
      <c r="K1326" t="s">
        <v>4</v>
      </c>
      <c r="L1326" t="s">
        <v>132</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1410</v>
      </c>
      <c r="B1327" t="s">
        <v>108</v>
      </c>
      <c r="C1327">
        <v>1</v>
      </c>
      <c r="D1327">
        <v>26.2</v>
      </c>
      <c r="E1327">
        <v>26.2</v>
      </c>
      <c r="F1327" s="1">
        <v>45708</v>
      </c>
      <c r="G1327" s="1">
        <v>45710</v>
      </c>
      <c r="H1327" t="s">
        <v>8</v>
      </c>
      <c r="I1327" t="s">
        <v>25</v>
      </c>
      <c r="J1327">
        <v>4</v>
      </c>
      <c r="K1327" t="s">
        <v>4</v>
      </c>
      <c r="L1327" t="s">
        <v>1411</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1412</v>
      </c>
      <c r="B1328" t="s">
        <v>39</v>
      </c>
      <c r="C1328">
        <v>30</v>
      </c>
      <c r="D1328">
        <v>44</v>
      </c>
      <c r="E1328">
        <v>1320</v>
      </c>
      <c r="F1328" s="1">
        <v>45708</v>
      </c>
      <c r="G1328" s="1">
        <v>45714</v>
      </c>
      <c r="H1328" t="s">
        <v>8</v>
      </c>
      <c r="I1328" t="s">
        <v>55</v>
      </c>
      <c r="J1328">
        <v>4</v>
      </c>
      <c r="K1328" t="s">
        <v>4</v>
      </c>
      <c r="L1328" t="s">
        <v>18</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1413</v>
      </c>
      <c r="B1329" t="s">
        <v>27</v>
      </c>
      <c r="C1329">
        <v>4</v>
      </c>
      <c r="D1329">
        <v>65.599999999999994</v>
      </c>
      <c r="E1329">
        <v>262.39999999999998</v>
      </c>
      <c r="F1329" s="1">
        <v>45708</v>
      </c>
      <c r="G1329" s="1">
        <v>45709</v>
      </c>
      <c r="H1329" t="s">
        <v>12</v>
      </c>
      <c r="I1329" t="s">
        <v>20</v>
      </c>
      <c r="J1329">
        <v>3</v>
      </c>
      <c r="K1329" t="s">
        <v>4</v>
      </c>
      <c r="L1329" t="s">
        <v>18</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1414</v>
      </c>
      <c r="B1330" t="s">
        <v>22</v>
      </c>
      <c r="C1330">
        <v>12</v>
      </c>
      <c r="D1330">
        <v>32.6</v>
      </c>
      <c r="E1330">
        <v>391.20000000000005</v>
      </c>
      <c r="F1330" s="1">
        <v>45708</v>
      </c>
      <c r="G1330" s="1">
        <v>45709</v>
      </c>
      <c r="H1330" t="s">
        <v>8</v>
      </c>
      <c r="I1330" t="s">
        <v>55</v>
      </c>
      <c r="J1330">
        <v>4</v>
      </c>
      <c r="K1330" t="s">
        <v>4</v>
      </c>
      <c r="L1330" t="s">
        <v>18</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1415</v>
      </c>
      <c r="B1331" t="s">
        <v>113</v>
      </c>
      <c r="C1331">
        <v>2</v>
      </c>
      <c r="D1331">
        <v>88.7</v>
      </c>
      <c r="E1331">
        <v>177.4</v>
      </c>
      <c r="F1331" s="1">
        <v>45708</v>
      </c>
      <c r="G1331" s="1">
        <v>45709</v>
      </c>
      <c r="H1331" t="s">
        <v>2</v>
      </c>
      <c r="I1331" t="s">
        <v>36</v>
      </c>
      <c r="J1331">
        <v>5</v>
      </c>
      <c r="K1331" t="s">
        <v>4</v>
      </c>
      <c r="L1331" t="s">
        <v>18</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1416</v>
      </c>
      <c r="B1332" t="s">
        <v>17</v>
      </c>
      <c r="C1332">
        <v>2</v>
      </c>
      <c r="D1332">
        <v>21.3</v>
      </c>
      <c r="E1332">
        <v>42.6</v>
      </c>
      <c r="F1332" s="1">
        <v>45708</v>
      </c>
      <c r="G1332" s="1">
        <v>45709</v>
      </c>
      <c r="H1332" t="s">
        <v>8</v>
      </c>
      <c r="I1332" t="s">
        <v>3</v>
      </c>
      <c r="J1332">
        <v>4</v>
      </c>
      <c r="K1332" t="s">
        <v>4</v>
      </c>
      <c r="L1332" t="s">
        <v>18</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1417</v>
      </c>
      <c r="B1333" t="s">
        <v>17</v>
      </c>
      <c r="C1333">
        <v>6</v>
      </c>
      <c r="D1333">
        <v>50.6</v>
      </c>
      <c r="E1333">
        <v>303.60000000000002</v>
      </c>
      <c r="F1333" s="1">
        <v>45708</v>
      </c>
      <c r="G1333" s="1">
        <v>45712</v>
      </c>
      <c r="H1333" t="s">
        <v>12</v>
      </c>
      <c r="I1333" t="s">
        <v>25</v>
      </c>
      <c r="J1333">
        <v>4</v>
      </c>
      <c r="K1333" t="s">
        <v>4</v>
      </c>
      <c r="L1333" t="s">
        <v>18</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1418</v>
      </c>
      <c r="B1334" t="s">
        <v>31</v>
      </c>
      <c r="C1334">
        <v>21</v>
      </c>
      <c r="D1334">
        <v>86.9</v>
      </c>
      <c r="E1334">
        <v>1824.9</v>
      </c>
      <c r="F1334" s="1">
        <v>45708</v>
      </c>
      <c r="G1334" s="1">
        <v>45711</v>
      </c>
      <c r="H1334" t="s">
        <v>12</v>
      </c>
      <c r="I1334" t="s">
        <v>3</v>
      </c>
      <c r="J1334">
        <v>3</v>
      </c>
      <c r="K1334" t="s">
        <v>4</v>
      </c>
      <c r="L1334" t="s">
        <v>18</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1419</v>
      </c>
      <c r="B1335" t="s">
        <v>52</v>
      </c>
      <c r="C1335">
        <v>3</v>
      </c>
      <c r="D1335">
        <v>31.8</v>
      </c>
      <c r="E1335">
        <v>95.4</v>
      </c>
      <c r="F1335" s="1">
        <v>45708</v>
      </c>
      <c r="G1335" s="1">
        <v>45710</v>
      </c>
      <c r="H1335" t="s">
        <v>8</v>
      </c>
      <c r="I1335" t="s">
        <v>3</v>
      </c>
      <c r="J1335">
        <v>5</v>
      </c>
      <c r="K1335" t="s">
        <v>4</v>
      </c>
      <c r="L1335" t="s">
        <v>18</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1420</v>
      </c>
      <c r="B1336" t="s">
        <v>29</v>
      </c>
      <c r="C1336">
        <v>1</v>
      </c>
      <c r="D1336">
        <v>19</v>
      </c>
      <c r="E1336">
        <v>19</v>
      </c>
      <c r="F1336" s="1">
        <v>45708</v>
      </c>
      <c r="G1336" s="1">
        <v>45709</v>
      </c>
      <c r="H1336" t="s">
        <v>12</v>
      </c>
      <c r="I1336" t="s">
        <v>3</v>
      </c>
      <c r="J1336">
        <v>5</v>
      </c>
      <c r="K1336" t="s">
        <v>4</v>
      </c>
      <c r="L1336" t="s">
        <v>18</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1421</v>
      </c>
      <c r="B1337" t="s">
        <v>22</v>
      </c>
      <c r="C1337">
        <v>1</v>
      </c>
      <c r="D1337">
        <v>54.5</v>
      </c>
      <c r="E1337">
        <v>54.5</v>
      </c>
      <c r="F1337" s="1">
        <v>45708</v>
      </c>
      <c r="G1337" s="1">
        <v>45710</v>
      </c>
      <c r="H1337" t="s">
        <v>8</v>
      </c>
      <c r="I1337" t="s">
        <v>3</v>
      </c>
      <c r="J1337">
        <v>4</v>
      </c>
      <c r="K1337" t="s">
        <v>4</v>
      </c>
      <c r="L1337" t="s">
        <v>18</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1422</v>
      </c>
      <c r="B1338" t="s">
        <v>31</v>
      </c>
      <c r="C1338">
        <v>5</v>
      </c>
      <c r="D1338">
        <v>68.900000000000006</v>
      </c>
      <c r="E1338">
        <v>344.5</v>
      </c>
      <c r="F1338" s="1">
        <v>45708</v>
      </c>
      <c r="G1338" s="1">
        <v>45710</v>
      </c>
      <c r="H1338" t="s">
        <v>8</v>
      </c>
      <c r="I1338" t="s">
        <v>55</v>
      </c>
      <c r="J1338">
        <v>3</v>
      </c>
      <c r="K1338" t="s">
        <v>4</v>
      </c>
      <c r="L1338" t="s">
        <v>18</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1423</v>
      </c>
      <c r="B1339" t="s">
        <v>24</v>
      </c>
      <c r="C1339">
        <v>3</v>
      </c>
      <c r="D1339">
        <v>84</v>
      </c>
      <c r="E1339">
        <v>252</v>
      </c>
      <c r="F1339" s="1">
        <v>45708</v>
      </c>
      <c r="G1339" s="1">
        <v>45709</v>
      </c>
      <c r="H1339" t="s">
        <v>8</v>
      </c>
      <c r="I1339" t="s">
        <v>20</v>
      </c>
      <c r="J1339">
        <v>2</v>
      </c>
      <c r="K1339" t="s">
        <v>4</v>
      </c>
      <c r="L1339" t="s">
        <v>83</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1424</v>
      </c>
      <c r="B1340" t="s">
        <v>108</v>
      </c>
      <c r="C1340">
        <v>8</v>
      </c>
      <c r="D1340">
        <v>23.1</v>
      </c>
      <c r="E1340">
        <v>184.8</v>
      </c>
      <c r="F1340" s="1">
        <v>45708</v>
      </c>
      <c r="G1340" s="1">
        <v>45713</v>
      </c>
      <c r="H1340" t="s">
        <v>8</v>
      </c>
      <c r="I1340" t="s">
        <v>3</v>
      </c>
      <c r="J1340">
        <v>5</v>
      </c>
      <c r="K1340" t="s">
        <v>4</v>
      </c>
      <c r="L1340" t="s">
        <v>143</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1425</v>
      </c>
      <c r="B1341" t="s">
        <v>27</v>
      </c>
      <c r="C1341">
        <v>2</v>
      </c>
      <c r="D1341">
        <v>62.4</v>
      </c>
      <c r="E1341">
        <v>124.8</v>
      </c>
      <c r="F1341" s="1">
        <v>45708</v>
      </c>
      <c r="G1341" s="1">
        <v>45709</v>
      </c>
      <c r="H1341" t="s">
        <v>12</v>
      </c>
      <c r="I1341" t="s">
        <v>3</v>
      </c>
      <c r="J1341">
        <v>3</v>
      </c>
      <c r="K1341" t="s">
        <v>4</v>
      </c>
      <c r="L1341" t="s">
        <v>40</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1426</v>
      </c>
      <c r="B1342" t="s">
        <v>24</v>
      </c>
      <c r="C1342">
        <v>12</v>
      </c>
      <c r="D1342">
        <v>40.700000000000003</v>
      </c>
      <c r="E1342">
        <v>488.40000000000003</v>
      </c>
      <c r="F1342" s="1">
        <v>45708</v>
      </c>
      <c r="G1342" s="1">
        <v>45710</v>
      </c>
      <c r="H1342" t="s">
        <v>8</v>
      </c>
      <c r="I1342" t="s">
        <v>20</v>
      </c>
      <c r="J1342">
        <v>5</v>
      </c>
      <c r="K1342" t="s">
        <v>4</v>
      </c>
      <c r="L1342" t="s">
        <v>40</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1427</v>
      </c>
      <c r="B1343" t="s">
        <v>24</v>
      </c>
      <c r="C1343">
        <v>1</v>
      </c>
      <c r="D1343">
        <v>49.6</v>
      </c>
      <c r="E1343">
        <v>49.6</v>
      </c>
      <c r="F1343" s="1">
        <v>45708</v>
      </c>
      <c r="G1343" s="1">
        <v>45711</v>
      </c>
      <c r="H1343" t="s">
        <v>8</v>
      </c>
      <c r="I1343" t="s">
        <v>25</v>
      </c>
      <c r="J1343">
        <v>4</v>
      </c>
      <c r="K1343" t="s">
        <v>4</v>
      </c>
      <c r="L1343" t="s">
        <v>44</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1428</v>
      </c>
      <c r="B1344" t="s">
        <v>27</v>
      </c>
      <c r="C1344">
        <v>45</v>
      </c>
      <c r="D1344">
        <v>66.599999999999994</v>
      </c>
      <c r="E1344">
        <v>2996.9999999999995</v>
      </c>
      <c r="F1344" s="1">
        <v>45708</v>
      </c>
      <c r="G1344" s="1">
        <v>45711</v>
      </c>
      <c r="H1344" t="s">
        <v>8</v>
      </c>
      <c r="I1344" t="s">
        <v>25</v>
      </c>
      <c r="J1344">
        <v>4</v>
      </c>
      <c r="K1344" t="s">
        <v>4</v>
      </c>
      <c r="L1344" t="s">
        <v>47</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1429</v>
      </c>
      <c r="B1345" t="s">
        <v>29</v>
      </c>
      <c r="C1345">
        <v>3</v>
      </c>
      <c r="D1345">
        <v>26.4</v>
      </c>
      <c r="E1345">
        <v>79.199999999999989</v>
      </c>
      <c r="F1345" s="1">
        <v>45708</v>
      </c>
      <c r="G1345" s="1">
        <v>45709</v>
      </c>
      <c r="H1345" t="s">
        <v>12</v>
      </c>
      <c r="I1345" t="s">
        <v>20</v>
      </c>
      <c r="J1345">
        <v>3</v>
      </c>
      <c r="K1345" t="s">
        <v>4</v>
      </c>
      <c r="L1345" t="s">
        <v>47</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1430</v>
      </c>
      <c r="B1346" t="s">
        <v>1</v>
      </c>
      <c r="C1346">
        <v>2</v>
      </c>
      <c r="D1346">
        <v>17.2</v>
      </c>
      <c r="E1346">
        <v>34.4</v>
      </c>
      <c r="F1346" s="1">
        <v>45708</v>
      </c>
      <c r="G1346" s="1">
        <v>45711</v>
      </c>
      <c r="H1346" t="s">
        <v>8</v>
      </c>
      <c r="I1346" t="s">
        <v>25</v>
      </c>
      <c r="J1346">
        <v>3</v>
      </c>
      <c r="K1346" t="s">
        <v>4</v>
      </c>
      <c r="L1346" t="s">
        <v>47</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1431</v>
      </c>
      <c r="B1347" t="s">
        <v>22</v>
      </c>
      <c r="C1347">
        <v>8</v>
      </c>
      <c r="D1347">
        <v>58.1</v>
      </c>
      <c r="E1347">
        <v>464.8</v>
      </c>
      <c r="F1347" s="1">
        <v>45708</v>
      </c>
      <c r="G1347" s="1">
        <v>45711</v>
      </c>
      <c r="H1347" t="s">
        <v>12</v>
      </c>
      <c r="I1347" t="s">
        <v>55</v>
      </c>
      <c r="J1347">
        <v>4</v>
      </c>
      <c r="K1347" t="s">
        <v>4</v>
      </c>
      <c r="L1347" t="s">
        <v>47</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1432</v>
      </c>
      <c r="B1348" t="s">
        <v>108</v>
      </c>
      <c r="C1348">
        <v>4</v>
      </c>
      <c r="D1348">
        <v>31.5</v>
      </c>
      <c r="E1348">
        <v>126</v>
      </c>
      <c r="F1348" s="1">
        <v>45708</v>
      </c>
      <c r="G1348" s="1">
        <v>45711</v>
      </c>
      <c r="H1348" t="s">
        <v>12</v>
      </c>
      <c r="I1348" t="s">
        <v>55</v>
      </c>
      <c r="J1348">
        <v>2</v>
      </c>
      <c r="K1348" t="s">
        <v>4</v>
      </c>
      <c r="L1348" t="s">
        <v>47</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1433</v>
      </c>
      <c r="B1349" t="s">
        <v>1</v>
      </c>
      <c r="C1349">
        <v>1</v>
      </c>
      <c r="D1349">
        <v>27.1</v>
      </c>
      <c r="E1349">
        <v>27.1</v>
      </c>
      <c r="F1349" s="1">
        <v>45708</v>
      </c>
      <c r="G1349" s="1">
        <v>45710</v>
      </c>
      <c r="H1349" t="s">
        <v>12</v>
      </c>
      <c r="I1349" t="s">
        <v>3</v>
      </c>
      <c r="J1349">
        <v>3</v>
      </c>
      <c r="K1349" t="s">
        <v>4</v>
      </c>
      <c r="L1349" t="s">
        <v>88</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1434</v>
      </c>
      <c r="B1350" t="s">
        <v>131</v>
      </c>
      <c r="C1350">
        <v>4</v>
      </c>
      <c r="D1350">
        <v>28.5</v>
      </c>
      <c r="E1350">
        <v>114</v>
      </c>
      <c r="F1350" s="1">
        <v>45708</v>
      </c>
      <c r="G1350" s="1">
        <v>45710</v>
      </c>
      <c r="H1350" t="s">
        <v>8</v>
      </c>
      <c r="I1350" t="s">
        <v>20</v>
      </c>
      <c r="J1350">
        <v>5</v>
      </c>
      <c r="K1350" t="s">
        <v>4</v>
      </c>
      <c r="L1350" t="s">
        <v>57</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1435</v>
      </c>
      <c r="B1351" t="s">
        <v>39</v>
      </c>
      <c r="C1351">
        <v>1</v>
      </c>
      <c r="D1351">
        <v>40.5</v>
      </c>
      <c r="E1351">
        <v>40.5</v>
      </c>
      <c r="F1351" s="1">
        <v>45709</v>
      </c>
      <c r="G1351" s="1">
        <v>45711</v>
      </c>
      <c r="H1351" t="s">
        <v>74</v>
      </c>
      <c r="I1351" t="s">
        <v>25</v>
      </c>
      <c r="J1351">
        <v>4</v>
      </c>
      <c r="K1351" t="s">
        <v>4</v>
      </c>
      <c r="L1351" t="s">
        <v>57</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1436</v>
      </c>
      <c r="B1352" t="s">
        <v>11</v>
      </c>
      <c r="C1352">
        <v>3</v>
      </c>
      <c r="D1352">
        <v>77.900000000000006</v>
      </c>
      <c r="E1352">
        <v>233.70000000000002</v>
      </c>
      <c r="F1352" s="1">
        <v>45709</v>
      </c>
      <c r="G1352" s="1">
        <v>45713</v>
      </c>
      <c r="H1352" t="s">
        <v>12</v>
      </c>
      <c r="I1352" t="s">
        <v>20</v>
      </c>
      <c r="J1352">
        <v>5</v>
      </c>
      <c r="K1352" t="s">
        <v>4</v>
      </c>
      <c r="L1352" t="s">
        <v>95</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1437</v>
      </c>
      <c r="B1353" t="s">
        <v>131</v>
      </c>
      <c r="C1353">
        <v>4</v>
      </c>
      <c r="D1353">
        <v>37.1</v>
      </c>
      <c r="E1353">
        <v>148.4</v>
      </c>
      <c r="F1353" s="1">
        <v>45709</v>
      </c>
      <c r="G1353" s="1">
        <v>45711</v>
      </c>
      <c r="H1353" t="s">
        <v>8</v>
      </c>
      <c r="I1353" t="s">
        <v>55</v>
      </c>
      <c r="J1353">
        <v>5</v>
      </c>
      <c r="K1353" t="s">
        <v>4</v>
      </c>
      <c r="L1353" t="s">
        <v>95</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1438</v>
      </c>
      <c r="B1354" t="s">
        <v>113</v>
      </c>
      <c r="C1354">
        <v>3</v>
      </c>
      <c r="D1354">
        <v>51.6</v>
      </c>
      <c r="E1354">
        <v>154.80000000000001</v>
      </c>
      <c r="F1354" s="1">
        <v>45709</v>
      </c>
      <c r="G1354" s="1">
        <v>45717</v>
      </c>
      <c r="H1354" t="s">
        <v>12</v>
      </c>
      <c r="I1354" t="s">
        <v>3</v>
      </c>
      <c r="J1354">
        <v>2</v>
      </c>
      <c r="K1354" t="s">
        <v>4</v>
      </c>
      <c r="L1354" t="s">
        <v>95</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1439</v>
      </c>
      <c r="B1355" t="s">
        <v>27</v>
      </c>
      <c r="C1355">
        <v>3</v>
      </c>
      <c r="D1355">
        <v>98</v>
      </c>
      <c r="E1355">
        <v>294</v>
      </c>
      <c r="F1355" s="1">
        <v>45709</v>
      </c>
      <c r="G1355" s="1">
        <v>45710</v>
      </c>
      <c r="H1355" t="s">
        <v>8</v>
      </c>
      <c r="I1355" t="s">
        <v>20</v>
      </c>
      <c r="J1355">
        <v>3</v>
      </c>
      <c r="K1355" t="s">
        <v>4</v>
      </c>
      <c r="L1355" t="s">
        <v>95</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1440</v>
      </c>
      <c r="B1356" t="s">
        <v>24</v>
      </c>
      <c r="C1356">
        <v>7</v>
      </c>
      <c r="D1356">
        <v>41.4</v>
      </c>
      <c r="E1356">
        <v>289.8</v>
      </c>
      <c r="F1356" s="1">
        <v>45709</v>
      </c>
      <c r="G1356" s="1">
        <v>45710</v>
      </c>
      <c r="H1356" t="s">
        <v>8</v>
      </c>
      <c r="I1356" t="s">
        <v>20</v>
      </c>
      <c r="J1356">
        <v>4</v>
      </c>
      <c r="K1356" t="s">
        <v>4</v>
      </c>
      <c r="L1356" t="s">
        <v>98</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1441</v>
      </c>
      <c r="B1357" t="s">
        <v>52</v>
      </c>
      <c r="C1357">
        <v>8</v>
      </c>
      <c r="D1357">
        <v>34</v>
      </c>
      <c r="E1357">
        <v>272</v>
      </c>
      <c r="F1357" s="1">
        <v>45709</v>
      </c>
      <c r="G1357" s="1">
        <v>45714</v>
      </c>
      <c r="H1357" t="s">
        <v>12</v>
      </c>
      <c r="I1357" t="s">
        <v>3</v>
      </c>
      <c r="J1357">
        <v>5</v>
      </c>
      <c r="K1357" t="s">
        <v>4</v>
      </c>
      <c r="L1357" t="s">
        <v>982</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1442</v>
      </c>
      <c r="B1358" t="s">
        <v>24</v>
      </c>
      <c r="C1358">
        <v>1</v>
      </c>
      <c r="D1358">
        <v>66.3</v>
      </c>
      <c r="E1358">
        <v>66.3</v>
      </c>
      <c r="F1358" s="1">
        <v>45709</v>
      </c>
      <c r="G1358" s="1">
        <v>45710</v>
      </c>
      <c r="H1358" t="s">
        <v>12</v>
      </c>
      <c r="I1358" t="s">
        <v>20</v>
      </c>
      <c r="J1358">
        <v>4</v>
      </c>
      <c r="K1358" t="s">
        <v>4</v>
      </c>
      <c r="L1358" t="s">
        <v>67</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1443</v>
      </c>
      <c r="B1359" t="s">
        <v>27</v>
      </c>
      <c r="C1359">
        <v>1</v>
      </c>
      <c r="D1359">
        <v>33.5</v>
      </c>
      <c r="E1359">
        <v>33.5</v>
      </c>
      <c r="F1359" s="1">
        <v>45709</v>
      </c>
      <c r="G1359" s="1">
        <v>45713</v>
      </c>
      <c r="H1359" t="s">
        <v>8</v>
      </c>
      <c r="I1359" t="s">
        <v>25</v>
      </c>
      <c r="J1359">
        <v>4</v>
      </c>
      <c r="K1359" t="s">
        <v>4</v>
      </c>
      <c r="L1359" t="s">
        <v>67</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1444</v>
      </c>
      <c r="B1360" t="s">
        <v>54</v>
      </c>
      <c r="C1360">
        <v>2</v>
      </c>
      <c r="D1360">
        <v>70.8</v>
      </c>
      <c r="E1360">
        <v>141.6</v>
      </c>
      <c r="F1360" s="1">
        <v>45709</v>
      </c>
      <c r="G1360" s="1">
        <v>45710</v>
      </c>
      <c r="H1360" t="s">
        <v>2</v>
      </c>
      <c r="I1360" t="s">
        <v>3</v>
      </c>
      <c r="J1360">
        <v>4</v>
      </c>
      <c r="K1360" t="s">
        <v>4</v>
      </c>
      <c r="L1360" t="s">
        <v>228</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1445</v>
      </c>
      <c r="B1361" t="s">
        <v>24</v>
      </c>
      <c r="C1361">
        <v>2</v>
      </c>
      <c r="D1361">
        <v>127.6</v>
      </c>
      <c r="E1361">
        <v>255.2</v>
      </c>
      <c r="F1361" s="1">
        <v>45709</v>
      </c>
      <c r="G1361" s="1">
        <v>45710</v>
      </c>
      <c r="H1361" t="s">
        <v>8</v>
      </c>
      <c r="I1361" t="s">
        <v>3</v>
      </c>
      <c r="J1361">
        <v>4</v>
      </c>
      <c r="K1361" t="s">
        <v>4</v>
      </c>
      <c r="L1361" t="s">
        <v>100</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1446</v>
      </c>
      <c r="B1362" t="s">
        <v>24</v>
      </c>
      <c r="C1362">
        <v>3</v>
      </c>
      <c r="D1362">
        <v>95.9</v>
      </c>
      <c r="E1362">
        <v>287.70000000000005</v>
      </c>
      <c r="F1362" s="1">
        <v>45709</v>
      </c>
      <c r="G1362" s="1">
        <v>45710</v>
      </c>
      <c r="H1362" t="s">
        <v>12</v>
      </c>
      <c r="I1362" t="s">
        <v>20</v>
      </c>
      <c r="J1362">
        <v>3</v>
      </c>
      <c r="K1362" t="s">
        <v>4</v>
      </c>
      <c r="L1362" t="s">
        <v>100</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1447</v>
      </c>
      <c r="B1363" t="s">
        <v>11</v>
      </c>
      <c r="C1363">
        <v>2</v>
      </c>
      <c r="D1363">
        <v>78.099999999999994</v>
      </c>
      <c r="E1363">
        <v>156.19999999999999</v>
      </c>
      <c r="F1363" s="1">
        <v>45709</v>
      </c>
      <c r="G1363" s="1">
        <v>45710</v>
      </c>
      <c r="H1363" t="s">
        <v>8</v>
      </c>
      <c r="I1363" t="s">
        <v>3</v>
      </c>
      <c r="J1363">
        <v>4</v>
      </c>
      <c r="K1363" t="s">
        <v>4</v>
      </c>
      <c r="L1363" t="s">
        <v>9</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1448</v>
      </c>
      <c r="B1364" t="s">
        <v>61</v>
      </c>
      <c r="C1364">
        <v>2</v>
      </c>
      <c r="D1364">
        <v>43.2</v>
      </c>
      <c r="E1364">
        <v>86.4</v>
      </c>
      <c r="F1364" s="1">
        <v>45709</v>
      </c>
      <c r="G1364" s="1">
        <v>45710</v>
      </c>
      <c r="H1364" t="s">
        <v>2</v>
      </c>
      <c r="I1364" t="s">
        <v>20</v>
      </c>
      <c r="J1364">
        <v>3</v>
      </c>
      <c r="K1364" t="s">
        <v>4</v>
      </c>
      <c r="L1364" t="s">
        <v>9</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1449</v>
      </c>
      <c r="B1365" t="s">
        <v>29</v>
      </c>
      <c r="C1365">
        <v>4</v>
      </c>
      <c r="D1365">
        <v>28.4</v>
      </c>
      <c r="E1365">
        <v>113.6</v>
      </c>
      <c r="F1365" s="1">
        <v>45709</v>
      </c>
      <c r="G1365" s="1">
        <v>45715</v>
      </c>
      <c r="H1365" t="s">
        <v>8</v>
      </c>
      <c r="I1365" t="s">
        <v>25</v>
      </c>
      <c r="J1365">
        <v>4</v>
      </c>
      <c r="K1365" t="s">
        <v>4</v>
      </c>
      <c r="L1365" t="s">
        <v>18</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1450</v>
      </c>
      <c r="B1366" t="s">
        <v>11</v>
      </c>
      <c r="C1366">
        <v>2</v>
      </c>
      <c r="D1366">
        <v>81.7</v>
      </c>
      <c r="E1366">
        <v>163.4</v>
      </c>
      <c r="F1366" s="1">
        <v>45709</v>
      </c>
      <c r="G1366" s="1">
        <v>45709</v>
      </c>
      <c r="H1366" t="s">
        <v>8</v>
      </c>
      <c r="I1366" t="s">
        <v>3</v>
      </c>
      <c r="J1366">
        <v>4</v>
      </c>
      <c r="K1366" t="s">
        <v>4</v>
      </c>
      <c r="L1366" t="s">
        <v>18</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1451</v>
      </c>
      <c r="B1367" t="s">
        <v>131</v>
      </c>
      <c r="C1367">
        <v>2</v>
      </c>
      <c r="D1367">
        <v>56.7</v>
      </c>
      <c r="E1367">
        <v>113.4</v>
      </c>
      <c r="F1367" s="1">
        <v>45709</v>
      </c>
      <c r="G1367" s="1">
        <v>45711</v>
      </c>
      <c r="H1367" t="s">
        <v>2</v>
      </c>
      <c r="I1367" t="s">
        <v>3</v>
      </c>
      <c r="J1367">
        <v>5</v>
      </c>
      <c r="K1367" t="s">
        <v>4</v>
      </c>
      <c r="L1367" t="s">
        <v>18</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1452</v>
      </c>
      <c r="B1368" t="s">
        <v>15</v>
      </c>
      <c r="C1368">
        <v>4</v>
      </c>
      <c r="D1368">
        <v>66.5</v>
      </c>
      <c r="E1368">
        <v>266</v>
      </c>
      <c r="F1368" s="1">
        <v>45709</v>
      </c>
      <c r="G1368" s="1">
        <v>45709</v>
      </c>
      <c r="H1368" t="s">
        <v>12</v>
      </c>
      <c r="I1368" t="s">
        <v>3</v>
      </c>
      <c r="J1368">
        <v>5</v>
      </c>
      <c r="K1368" t="s">
        <v>4</v>
      </c>
      <c r="L1368" t="s">
        <v>18</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1453</v>
      </c>
      <c r="B1369" t="s">
        <v>7</v>
      </c>
      <c r="C1369">
        <v>2</v>
      </c>
      <c r="D1369">
        <v>105.3</v>
      </c>
      <c r="E1369">
        <v>210.6</v>
      </c>
      <c r="F1369" s="1">
        <v>45709</v>
      </c>
      <c r="G1369" s="1">
        <v>45713</v>
      </c>
      <c r="H1369" t="s">
        <v>8</v>
      </c>
      <c r="I1369" t="s">
        <v>3</v>
      </c>
      <c r="J1369">
        <v>3</v>
      </c>
      <c r="K1369" t="s">
        <v>4</v>
      </c>
      <c r="L1369" t="s">
        <v>18</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1454</v>
      </c>
      <c r="B1370" t="s">
        <v>39</v>
      </c>
      <c r="C1370">
        <v>5</v>
      </c>
      <c r="D1370">
        <v>33.799999999999997</v>
      </c>
      <c r="E1370">
        <v>169</v>
      </c>
      <c r="F1370" s="1">
        <v>45709</v>
      </c>
      <c r="G1370" s="1">
        <v>45714</v>
      </c>
      <c r="H1370" t="s">
        <v>8</v>
      </c>
      <c r="I1370" t="s">
        <v>3</v>
      </c>
      <c r="J1370">
        <v>4</v>
      </c>
      <c r="K1370" t="s">
        <v>4</v>
      </c>
      <c r="L1370" t="s">
        <v>18</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1455</v>
      </c>
      <c r="B1371" t="s">
        <v>24</v>
      </c>
      <c r="C1371">
        <v>3</v>
      </c>
      <c r="D1371">
        <v>63.4</v>
      </c>
      <c r="E1371">
        <v>190.2</v>
      </c>
      <c r="F1371" s="1">
        <v>45709</v>
      </c>
      <c r="G1371" s="1">
        <v>45714</v>
      </c>
      <c r="H1371" t="s">
        <v>8</v>
      </c>
      <c r="I1371" t="s">
        <v>36</v>
      </c>
      <c r="J1371">
        <v>3</v>
      </c>
      <c r="K1371" t="s">
        <v>4</v>
      </c>
      <c r="L1371" t="s">
        <v>171</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1456</v>
      </c>
      <c r="B1372" t="s">
        <v>24</v>
      </c>
      <c r="C1372">
        <v>3</v>
      </c>
      <c r="D1372">
        <v>49</v>
      </c>
      <c r="E1372">
        <v>147</v>
      </c>
      <c r="F1372" s="1">
        <v>45709</v>
      </c>
      <c r="G1372" s="1">
        <v>45713</v>
      </c>
      <c r="H1372" t="s">
        <v>8</v>
      </c>
      <c r="I1372" t="s">
        <v>36</v>
      </c>
      <c r="J1372">
        <v>4</v>
      </c>
      <c r="K1372" t="s">
        <v>4</v>
      </c>
      <c r="L1372" t="s">
        <v>787</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1457</v>
      </c>
      <c r="B1373" t="s">
        <v>7</v>
      </c>
      <c r="C1373">
        <v>2</v>
      </c>
      <c r="D1373">
        <v>40</v>
      </c>
      <c r="E1373">
        <v>80</v>
      </c>
      <c r="F1373" s="1">
        <v>45709</v>
      </c>
      <c r="G1373" s="1">
        <v>45710</v>
      </c>
      <c r="H1373" t="s">
        <v>12</v>
      </c>
      <c r="I1373" t="s">
        <v>55</v>
      </c>
      <c r="J1373">
        <v>3</v>
      </c>
      <c r="K1373" t="s">
        <v>4</v>
      </c>
      <c r="L1373" t="s">
        <v>143</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1458</v>
      </c>
      <c r="B1374" t="s">
        <v>24</v>
      </c>
      <c r="C1374">
        <v>4</v>
      </c>
      <c r="D1374">
        <v>86.3</v>
      </c>
      <c r="E1374">
        <v>345.2</v>
      </c>
      <c r="F1374" s="1">
        <v>45709</v>
      </c>
      <c r="G1374" s="1">
        <v>45710</v>
      </c>
      <c r="H1374" t="s">
        <v>74</v>
      </c>
      <c r="I1374" t="s">
        <v>3</v>
      </c>
      <c r="J1374">
        <v>4</v>
      </c>
      <c r="K1374" t="s">
        <v>4</v>
      </c>
      <c r="L1374" t="s">
        <v>40</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1459</v>
      </c>
      <c r="B1375" t="s">
        <v>24</v>
      </c>
      <c r="C1375">
        <v>1</v>
      </c>
      <c r="D1375">
        <v>51.6</v>
      </c>
      <c r="E1375">
        <v>51.6</v>
      </c>
      <c r="F1375" s="1">
        <v>45709</v>
      </c>
      <c r="G1375" s="1">
        <v>45711</v>
      </c>
      <c r="H1375" t="s">
        <v>12</v>
      </c>
      <c r="I1375" t="s">
        <v>25</v>
      </c>
      <c r="J1375">
        <v>5</v>
      </c>
      <c r="K1375" t="s">
        <v>4</v>
      </c>
      <c r="L1375" t="s">
        <v>40</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1460</v>
      </c>
      <c r="B1376" t="s">
        <v>39</v>
      </c>
      <c r="C1376">
        <v>3</v>
      </c>
      <c r="D1376">
        <v>26.7</v>
      </c>
      <c r="E1376">
        <v>80.099999999999994</v>
      </c>
      <c r="F1376" s="1">
        <v>45709</v>
      </c>
      <c r="G1376" s="1">
        <v>45714</v>
      </c>
      <c r="H1376" t="s">
        <v>12</v>
      </c>
      <c r="I1376" t="s">
        <v>25</v>
      </c>
      <c r="J1376">
        <v>3</v>
      </c>
      <c r="K1376" t="s">
        <v>4</v>
      </c>
      <c r="L1376" t="s">
        <v>40</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1461</v>
      </c>
      <c r="B1377" t="s">
        <v>131</v>
      </c>
      <c r="C1377">
        <v>2</v>
      </c>
      <c r="D1377">
        <v>68.099999999999994</v>
      </c>
      <c r="E1377">
        <v>136.19999999999999</v>
      </c>
      <c r="F1377" s="1">
        <v>45709</v>
      </c>
      <c r="G1377" s="1">
        <v>45710</v>
      </c>
      <c r="H1377" t="s">
        <v>8</v>
      </c>
      <c r="I1377" t="s">
        <v>3</v>
      </c>
      <c r="J1377">
        <v>3</v>
      </c>
      <c r="K1377" t="s">
        <v>4</v>
      </c>
      <c r="L1377" t="s">
        <v>40</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1462</v>
      </c>
      <c r="B1378" t="s">
        <v>7</v>
      </c>
      <c r="C1378">
        <v>1</v>
      </c>
      <c r="D1378">
        <v>81.7</v>
      </c>
      <c r="E1378">
        <v>81.7</v>
      </c>
      <c r="F1378" s="1">
        <v>45709</v>
      </c>
      <c r="G1378" s="1">
        <v>45710</v>
      </c>
      <c r="H1378" t="s">
        <v>8</v>
      </c>
      <c r="I1378" t="s">
        <v>3</v>
      </c>
      <c r="J1378">
        <v>4</v>
      </c>
      <c r="K1378" t="s">
        <v>4</v>
      </c>
      <c r="L1378" t="s">
        <v>44</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1463</v>
      </c>
      <c r="B1379" t="s">
        <v>131</v>
      </c>
      <c r="C1379">
        <v>10</v>
      </c>
      <c r="D1379">
        <v>25.1</v>
      </c>
      <c r="E1379">
        <v>251</v>
      </c>
      <c r="F1379" s="1">
        <v>45709</v>
      </c>
      <c r="G1379" s="1">
        <v>45712</v>
      </c>
      <c r="H1379" t="s">
        <v>8</v>
      </c>
      <c r="I1379" t="s">
        <v>36</v>
      </c>
      <c r="J1379">
        <v>3</v>
      </c>
      <c r="K1379" t="s">
        <v>4</v>
      </c>
      <c r="L1379" t="s">
        <v>47</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1464</v>
      </c>
      <c r="B1380" t="s">
        <v>29</v>
      </c>
      <c r="C1380">
        <v>1</v>
      </c>
      <c r="D1380">
        <v>20.2</v>
      </c>
      <c r="E1380">
        <v>20.2</v>
      </c>
      <c r="F1380" s="1">
        <v>45709</v>
      </c>
      <c r="G1380" s="1">
        <v>45713</v>
      </c>
      <c r="H1380" t="s">
        <v>12</v>
      </c>
      <c r="I1380" t="s">
        <v>3</v>
      </c>
      <c r="J1380">
        <v>4</v>
      </c>
      <c r="K1380" t="s">
        <v>4</v>
      </c>
      <c r="L1380" t="s">
        <v>47</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1465</v>
      </c>
      <c r="B1381" t="s">
        <v>29</v>
      </c>
      <c r="C1381">
        <v>3</v>
      </c>
      <c r="D1381">
        <v>15.4</v>
      </c>
      <c r="E1381">
        <v>46.2</v>
      </c>
      <c r="F1381" s="1">
        <v>45709</v>
      </c>
      <c r="G1381" s="1">
        <v>45710</v>
      </c>
      <c r="H1381" t="s">
        <v>8</v>
      </c>
      <c r="I1381" t="s">
        <v>20</v>
      </c>
      <c r="J1381">
        <v>5</v>
      </c>
      <c r="K1381" t="s">
        <v>4</v>
      </c>
      <c r="L1381" t="s">
        <v>47</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1466</v>
      </c>
      <c r="B1382" t="s">
        <v>39</v>
      </c>
      <c r="C1382">
        <v>1</v>
      </c>
      <c r="D1382">
        <v>59.2</v>
      </c>
      <c r="E1382">
        <v>59.2</v>
      </c>
      <c r="F1382" s="1">
        <v>45709</v>
      </c>
      <c r="G1382" s="1">
        <v>45710</v>
      </c>
      <c r="H1382" t="s">
        <v>8</v>
      </c>
      <c r="I1382" t="s">
        <v>25</v>
      </c>
      <c r="J1382">
        <v>5</v>
      </c>
      <c r="K1382" t="s">
        <v>4</v>
      </c>
      <c r="L1382" t="s">
        <v>88</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1467</v>
      </c>
      <c r="B1383" t="s">
        <v>1</v>
      </c>
      <c r="C1383">
        <v>1</v>
      </c>
      <c r="D1383">
        <v>46.7</v>
      </c>
      <c r="E1383">
        <v>46.7</v>
      </c>
      <c r="F1383" s="1">
        <v>45709</v>
      </c>
      <c r="G1383" s="1">
        <v>45714</v>
      </c>
      <c r="H1383" t="s">
        <v>8</v>
      </c>
      <c r="I1383" t="s">
        <v>3</v>
      </c>
      <c r="J1383">
        <v>4</v>
      </c>
      <c r="K1383" t="s">
        <v>4</v>
      </c>
      <c r="L1383" t="s">
        <v>88</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1468</v>
      </c>
      <c r="B1384" t="s">
        <v>24</v>
      </c>
      <c r="C1384">
        <v>15</v>
      </c>
      <c r="D1384">
        <v>41.6</v>
      </c>
      <c r="E1384">
        <v>624</v>
      </c>
      <c r="F1384" s="1">
        <v>45709</v>
      </c>
      <c r="G1384" s="1">
        <v>45711</v>
      </c>
      <c r="H1384" t="s">
        <v>8</v>
      </c>
      <c r="I1384" t="s">
        <v>20</v>
      </c>
      <c r="J1384">
        <v>4</v>
      </c>
      <c r="K1384" t="s">
        <v>4</v>
      </c>
      <c r="L1384" t="s">
        <v>186</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1469</v>
      </c>
      <c r="B1385" t="s">
        <v>29</v>
      </c>
      <c r="C1385">
        <v>2</v>
      </c>
      <c r="D1385">
        <v>19.2</v>
      </c>
      <c r="E1385">
        <v>38.4</v>
      </c>
      <c r="F1385" s="1">
        <v>45709</v>
      </c>
      <c r="G1385" s="1">
        <v>45712</v>
      </c>
      <c r="H1385" t="s">
        <v>8</v>
      </c>
      <c r="I1385" t="s">
        <v>55</v>
      </c>
      <c r="J1385">
        <v>5</v>
      </c>
      <c r="K1385" t="s">
        <v>4</v>
      </c>
      <c r="L1385" t="s">
        <v>57</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1470</v>
      </c>
      <c r="B1386" t="s">
        <v>120</v>
      </c>
      <c r="C1386">
        <v>7</v>
      </c>
      <c r="D1386">
        <v>41.8</v>
      </c>
      <c r="E1386">
        <v>292.59999999999997</v>
      </c>
      <c r="F1386" s="1">
        <v>45709</v>
      </c>
      <c r="G1386" s="1">
        <v>45711</v>
      </c>
      <c r="H1386" t="s">
        <v>12</v>
      </c>
      <c r="I1386" t="s">
        <v>25</v>
      </c>
      <c r="J1386">
        <v>4</v>
      </c>
      <c r="K1386" t="s">
        <v>4</v>
      </c>
      <c r="L1386" t="s">
        <v>62</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1471</v>
      </c>
      <c r="B1387" t="s">
        <v>29</v>
      </c>
      <c r="C1387">
        <v>6</v>
      </c>
      <c r="D1387">
        <v>37.4</v>
      </c>
      <c r="E1387">
        <v>224.39999999999998</v>
      </c>
      <c r="F1387" s="1">
        <v>45709</v>
      </c>
      <c r="G1387" s="1">
        <v>45711</v>
      </c>
      <c r="H1387" t="s">
        <v>8</v>
      </c>
      <c r="I1387" t="s">
        <v>3</v>
      </c>
      <c r="J1387">
        <v>5</v>
      </c>
      <c r="K1387" t="s">
        <v>4</v>
      </c>
      <c r="L1387" t="s">
        <v>62</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1472</v>
      </c>
      <c r="B1388" t="s">
        <v>39</v>
      </c>
      <c r="C1388">
        <v>3</v>
      </c>
      <c r="D1388">
        <v>60.2</v>
      </c>
      <c r="E1388">
        <v>180.60000000000002</v>
      </c>
      <c r="F1388" s="1">
        <v>45709</v>
      </c>
      <c r="G1388" s="1">
        <v>45712</v>
      </c>
      <c r="H1388" t="s">
        <v>8</v>
      </c>
      <c r="I1388" t="s">
        <v>55</v>
      </c>
      <c r="J1388">
        <v>3</v>
      </c>
      <c r="K1388" t="s">
        <v>4</v>
      </c>
      <c r="L1388" t="s">
        <v>362</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1473</v>
      </c>
      <c r="B1389" t="s">
        <v>31</v>
      </c>
      <c r="C1389">
        <v>2</v>
      </c>
      <c r="D1389">
        <v>91.5</v>
      </c>
      <c r="E1389">
        <v>183</v>
      </c>
      <c r="F1389" s="1">
        <v>45710</v>
      </c>
      <c r="G1389" s="1">
        <v>45711</v>
      </c>
      <c r="H1389" t="s">
        <v>8</v>
      </c>
      <c r="I1389" t="s">
        <v>3</v>
      </c>
      <c r="J1389">
        <v>4</v>
      </c>
      <c r="K1389" t="s">
        <v>4</v>
      </c>
      <c r="L1389" t="s">
        <v>67</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1474</v>
      </c>
      <c r="B1390" t="s">
        <v>15</v>
      </c>
      <c r="C1390">
        <v>5</v>
      </c>
      <c r="D1390">
        <v>55.7</v>
      </c>
      <c r="E1390">
        <v>278.5</v>
      </c>
      <c r="F1390" s="1">
        <v>45710</v>
      </c>
      <c r="G1390" s="1">
        <v>45712</v>
      </c>
      <c r="H1390" t="s">
        <v>2</v>
      </c>
      <c r="I1390" t="s">
        <v>20</v>
      </c>
      <c r="J1390">
        <v>5</v>
      </c>
      <c r="K1390" t="s">
        <v>4</v>
      </c>
      <c r="L1390" t="s">
        <v>100</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1475</v>
      </c>
      <c r="B1391" t="s">
        <v>27</v>
      </c>
      <c r="C1391">
        <v>2</v>
      </c>
      <c r="D1391">
        <v>76.7</v>
      </c>
      <c r="E1391">
        <v>153.4</v>
      </c>
      <c r="F1391" s="1">
        <v>45710</v>
      </c>
      <c r="G1391" s="1">
        <v>45712</v>
      </c>
      <c r="H1391" t="s">
        <v>8</v>
      </c>
      <c r="I1391" t="s">
        <v>3</v>
      </c>
      <c r="J1391">
        <v>3</v>
      </c>
      <c r="K1391" t="s">
        <v>4</v>
      </c>
      <c r="L1391" t="s">
        <v>100</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1476</v>
      </c>
      <c r="B1392" t="s">
        <v>29</v>
      </c>
      <c r="C1392">
        <v>21</v>
      </c>
      <c r="D1392">
        <v>28.2</v>
      </c>
      <c r="E1392">
        <v>592.19999999999993</v>
      </c>
      <c r="F1392" s="1">
        <v>45710</v>
      </c>
      <c r="G1392" s="1">
        <v>45715</v>
      </c>
      <c r="H1392" t="s">
        <v>8</v>
      </c>
      <c r="I1392" t="s">
        <v>25</v>
      </c>
      <c r="J1392">
        <v>4</v>
      </c>
      <c r="K1392" t="s">
        <v>4</v>
      </c>
      <c r="L1392" t="s">
        <v>9</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1477</v>
      </c>
      <c r="B1393" t="s">
        <v>27</v>
      </c>
      <c r="C1393">
        <v>5</v>
      </c>
      <c r="D1393">
        <v>93.2</v>
      </c>
      <c r="E1393">
        <v>466</v>
      </c>
      <c r="F1393" s="1">
        <v>45710</v>
      </c>
      <c r="G1393" s="1">
        <v>45712</v>
      </c>
      <c r="H1393" t="s">
        <v>12</v>
      </c>
      <c r="I1393" t="s">
        <v>55</v>
      </c>
      <c r="J1393">
        <v>5</v>
      </c>
      <c r="K1393" t="s">
        <v>4</v>
      </c>
      <c r="L1393" t="s">
        <v>9</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1478</v>
      </c>
      <c r="B1394" t="s">
        <v>120</v>
      </c>
      <c r="C1394">
        <v>1</v>
      </c>
      <c r="D1394">
        <v>33.299999999999997</v>
      </c>
      <c r="E1394">
        <v>33.299999999999997</v>
      </c>
      <c r="F1394" s="1">
        <v>45710</v>
      </c>
      <c r="G1394" s="1">
        <v>45711</v>
      </c>
      <c r="H1394" t="s">
        <v>8</v>
      </c>
      <c r="I1394" t="s">
        <v>55</v>
      </c>
      <c r="J1394">
        <v>4</v>
      </c>
      <c r="K1394" t="s">
        <v>4</v>
      </c>
      <c r="L1394" t="s">
        <v>13</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1479</v>
      </c>
      <c r="B1395" t="s">
        <v>39</v>
      </c>
      <c r="C1395">
        <v>2</v>
      </c>
      <c r="D1395">
        <v>39.1</v>
      </c>
      <c r="E1395">
        <v>78.2</v>
      </c>
      <c r="F1395" s="1">
        <v>45710</v>
      </c>
      <c r="G1395" s="1">
        <v>45713</v>
      </c>
      <c r="H1395" t="s">
        <v>8</v>
      </c>
      <c r="I1395" t="s">
        <v>3</v>
      </c>
      <c r="J1395">
        <v>4</v>
      </c>
      <c r="K1395" t="s">
        <v>4</v>
      </c>
      <c r="L1395" t="s">
        <v>572</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1480</v>
      </c>
      <c r="B1396" t="s">
        <v>27</v>
      </c>
      <c r="C1396">
        <v>12</v>
      </c>
      <c r="D1396">
        <v>45.3</v>
      </c>
      <c r="E1396">
        <v>543.59999999999991</v>
      </c>
      <c r="F1396" s="1">
        <v>45710</v>
      </c>
      <c r="G1396" s="1">
        <v>45711</v>
      </c>
      <c r="H1396" t="s">
        <v>8</v>
      </c>
      <c r="I1396" t="s">
        <v>25</v>
      </c>
      <c r="J1396">
        <v>4</v>
      </c>
      <c r="K1396" t="s">
        <v>4</v>
      </c>
      <c r="L1396" t="s">
        <v>316</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1481</v>
      </c>
      <c r="B1397" t="s">
        <v>31</v>
      </c>
      <c r="C1397">
        <v>7</v>
      </c>
      <c r="D1397">
        <v>33.9</v>
      </c>
      <c r="E1397">
        <v>237.29999999999998</v>
      </c>
      <c r="F1397" s="1">
        <v>45710</v>
      </c>
      <c r="G1397" s="1">
        <v>45711</v>
      </c>
      <c r="H1397" t="s">
        <v>8</v>
      </c>
      <c r="I1397" t="s">
        <v>55</v>
      </c>
      <c r="J1397">
        <v>4</v>
      </c>
      <c r="K1397" t="s">
        <v>4</v>
      </c>
      <c r="L1397" t="s">
        <v>316</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1482</v>
      </c>
      <c r="B1398" t="s">
        <v>29</v>
      </c>
      <c r="C1398">
        <v>3</v>
      </c>
      <c r="D1398">
        <v>19</v>
      </c>
      <c r="E1398">
        <v>57</v>
      </c>
      <c r="F1398" s="1">
        <v>45710</v>
      </c>
      <c r="G1398" s="1">
        <v>45711</v>
      </c>
      <c r="H1398" t="s">
        <v>8</v>
      </c>
      <c r="I1398" t="s">
        <v>3</v>
      </c>
      <c r="J1398">
        <v>5</v>
      </c>
      <c r="K1398" t="s">
        <v>4</v>
      </c>
      <c r="L1398" t="s">
        <v>71</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1483</v>
      </c>
      <c r="B1399" t="s">
        <v>17</v>
      </c>
      <c r="C1399">
        <v>1</v>
      </c>
      <c r="D1399">
        <v>41.9</v>
      </c>
      <c r="E1399">
        <v>41.9</v>
      </c>
      <c r="F1399" s="1">
        <v>45710</v>
      </c>
      <c r="G1399" s="1">
        <v>45713</v>
      </c>
      <c r="H1399" t="s">
        <v>12</v>
      </c>
      <c r="I1399" t="s">
        <v>25</v>
      </c>
      <c r="J1399">
        <v>4</v>
      </c>
      <c r="K1399" t="s">
        <v>4</v>
      </c>
      <c r="L1399" t="s">
        <v>132</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1484</v>
      </c>
      <c r="B1400" t="s">
        <v>7</v>
      </c>
      <c r="C1400">
        <v>4</v>
      </c>
      <c r="D1400">
        <v>37.5</v>
      </c>
      <c r="E1400">
        <v>150</v>
      </c>
      <c r="F1400" s="1">
        <v>45710</v>
      </c>
      <c r="G1400" s="1">
        <v>45710</v>
      </c>
      <c r="H1400" t="s">
        <v>12</v>
      </c>
      <c r="I1400" t="s">
        <v>3</v>
      </c>
      <c r="J1400">
        <v>4</v>
      </c>
      <c r="K1400" t="s">
        <v>4</v>
      </c>
      <c r="L1400" t="s">
        <v>18</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1485</v>
      </c>
      <c r="B1401" t="s">
        <v>1</v>
      </c>
      <c r="C1401">
        <v>2</v>
      </c>
      <c r="D1401">
        <v>40.799999999999997</v>
      </c>
      <c r="E1401">
        <v>81.599999999999994</v>
      </c>
      <c r="F1401" s="1">
        <v>45710</v>
      </c>
      <c r="G1401" s="1">
        <v>45713</v>
      </c>
      <c r="H1401" t="s">
        <v>8</v>
      </c>
      <c r="I1401" t="s">
        <v>3</v>
      </c>
      <c r="J1401">
        <v>4</v>
      </c>
      <c r="K1401" t="s">
        <v>4</v>
      </c>
      <c r="L1401" t="s">
        <v>18</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1486</v>
      </c>
      <c r="B1402" t="s">
        <v>1</v>
      </c>
      <c r="C1402">
        <v>4</v>
      </c>
      <c r="D1402">
        <v>23.1</v>
      </c>
      <c r="E1402">
        <v>92.4</v>
      </c>
      <c r="F1402" s="1">
        <v>45710</v>
      </c>
      <c r="G1402" s="1">
        <v>45711</v>
      </c>
      <c r="H1402" t="s">
        <v>12</v>
      </c>
      <c r="I1402" t="s">
        <v>55</v>
      </c>
      <c r="J1402">
        <v>4</v>
      </c>
      <c r="K1402" t="s">
        <v>4</v>
      </c>
      <c r="L1402" t="s">
        <v>18</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1487</v>
      </c>
      <c r="B1403" t="s">
        <v>29</v>
      </c>
      <c r="C1403">
        <v>5</v>
      </c>
      <c r="D1403">
        <v>39.299999999999997</v>
      </c>
      <c r="E1403">
        <v>196.5</v>
      </c>
      <c r="F1403" s="1">
        <v>45710</v>
      </c>
      <c r="G1403" s="1">
        <v>45711</v>
      </c>
      <c r="H1403" t="s">
        <v>12</v>
      </c>
      <c r="I1403" t="s">
        <v>3</v>
      </c>
      <c r="J1403">
        <v>4</v>
      </c>
      <c r="K1403" t="s">
        <v>4</v>
      </c>
      <c r="L1403" t="s">
        <v>18</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1488</v>
      </c>
      <c r="B1404" t="s">
        <v>11</v>
      </c>
      <c r="C1404">
        <v>4</v>
      </c>
      <c r="D1404">
        <v>85.2</v>
      </c>
      <c r="E1404">
        <v>340.8</v>
      </c>
      <c r="F1404" s="1">
        <v>45710</v>
      </c>
      <c r="G1404" s="1">
        <v>45715</v>
      </c>
      <c r="H1404" t="s">
        <v>8</v>
      </c>
      <c r="I1404" t="s">
        <v>25</v>
      </c>
      <c r="J1404">
        <v>4</v>
      </c>
      <c r="K1404" t="s">
        <v>4</v>
      </c>
      <c r="L1404" t="s">
        <v>18</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1489</v>
      </c>
      <c r="B1405" t="s">
        <v>29</v>
      </c>
      <c r="C1405">
        <v>6</v>
      </c>
      <c r="D1405">
        <v>16</v>
      </c>
      <c r="E1405">
        <v>96</v>
      </c>
      <c r="F1405" s="1">
        <v>45710</v>
      </c>
      <c r="G1405" s="1">
        <v>45713</v>
      </c>
      <c r="H1405" t="s">
        <v>8</v>
      </c>
      <c r="I1405" t="s">
        <v>20</v>
      </c>
      <c r="J1405">
        <v>4</v>
      </c>
      <c r="K1405" t="s">
        <v>4</v>
      </c>
      <c r="L1405" t="s">
        <v>18</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1490</v>
      </c>
      <c r="B1406" t="s">
        <v>7</v>
      </c>
      <c r="C1406">
        <v>2</v>
      </c>
      <c r="D1406">
        <v>33.799999999999997</v>
      </c>
      <c r="E1406">
        <v>67.599999999999994</v>
      </c>
      <c r="F1406" s="1">
        <v>45710</v>
      </c>
      <c r="G1406" s="1">
        <v>45714</v>
      </c>
      <c r="H1406" t="s">
        <v>12</v>
      </c>
      <c r="I1406" t="s">
        <v>20</v>
      </c>
      <c r="J1406">
        <v>4</v>
      </c>
      <c r="K1406" t="s">
        <v>4</v>
      </c>
      <c r="L1406" t="s">
        <v>18</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1491</v>
      </c>
      <c r="B1407" t="s">
        <v>15</v>
      </c>
      <c r="C1407">
        <v>1</v>
      </c>
      <c r="D1407">
        <v>70</v>
      </c>
      <c r="E1407">
        <v>70</v>
      </c>
      <c r="F1407" s="1">
        <v>45710</v>
      </c>
      <c r="G1407" s="1">
        <v>45711</v>
      </c>
      <c r="H1407" t="s">
        <v>12</v>
      </c>
      <c r="I1407" t="s">
        <v>3</v>
      </c>
      <c r="J1407">
        <v>4</v>
      </c>
      <c r="K1407" t="s">
        <v>4</v>
      </c>
      <c r="L1407" t="s">
        <v>18</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1492</v>
      </c>
      <c r="B1408" t="s">
        <v>31</v>
      </c>
      <c r="C1408">
        <v>1</v>
      </c>
      <c r="D1408">
        <v>88</v>
      </c>
      <c r="E1408">
        <v>88</v>
      </c>
      <c r="F1408" s="1">
        <v>45710</v>
      </c>
      <c r="G1408" s="1">
        <v>45715</v>
      </c>
      <c r="H1408" t="s">
        <v>12</v>
      </c>
      <c r="I1408" t="s">
        <v>36</v>
      </c>
      <c r="J1408">
        <v>4</v>
      </c>
      <c r="K1408" t="s">
        <v>4</v>
      </c>
      <c r="L1408" t="s">
        <v>18</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1493</v>
      </c>
      <c r="B1409" t="s">
        <v>11</v>
      </c>
      <c r="C1409">
        <v>3</v>
      </c>
      <c r="D1409">
        <v>74.099999999999994</v>
      </c>
      <c r="E1409">
        <v>222.29999999999998</v>
      </c>
      <c r="F1409" s="1">
        <v>45710</v>
      </c>
      <c r="G1409" s="1">
        <v>45710</v>
      </c>
      <c r="H1409" t="s">
        <v>8</v>
      </c>
      <c r="I1409" t="s">
        <v>55</v>
      </c>
      <c r="J1409">
        <v>3</v>
      </c>
      <c r="K1409" t="s">
        <v>4</v>
      </c>
      <c r="L1409" t="s">
        <v>18</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1494</v>
      </c>
      <c r="B1410" t="s">
        <v>11</v>
      </c>
      <c r="C1410">
        <v>1</v>
      </c>
      <c r="D1410">
        <v>161.9</v>
      </c>
      <c r="E1410">
        <v>161.9</v>
      </c>
      <c r="F1410" s="1">
        <v>45710</v>
      </c>
      <c r="G1410" s="1">
        <v>45712</v>
      </c>
      <c r="H1410" t="s">
        <v>8</v>
      </c>
      <c r="I1410" t="s">
        <v>25</v>
      </c>
      <c r="J1410">
        <v>4</v>
      </c>
      <c r="K1410" t="s">
        <v>4</v>
      </c>
      <c r="L1410" t="s">
        <v>18</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1495</v>
      </c>
      <c r="B1411" t="s">
        <v>17</v>
      </c>
      <c r="C1411">
        <v>2</v>
      </c>
      <c r="D1411">
        <v>44</v>
      </c>
      <c r="E1411">
        <v>88</v>
      </c>
      <c r="F1411" s="1">
        <v>45710</v>
      </c>
      <c r="G1411" s="1">
        <v>45711</v>
      </c>
      <c r="H1411" t="s">
        <v>74</v>
      </c>
      <c r="I1411" t="s">
        <v>55</v>
      </c>
      <c r="J1411">
        <v>3</v>
      </c>
      <c r="K1411" t="s">
        <v>4</v>
      </c>
      <c r="L1411" t="s">
        <v>18</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1496</v>
      </c>
      <c r="B1412" t="s">
        <v>52</v>
      </c>
      <c r="C1412">
        <v>1</v>
      </c>
      <c r="D1412">
        <v>32.1</v>
      </c>
      <c r="E1412">
        <v>32.1</v>
      </c>
      <c r="F1412" s="1">
        <v>45710</v>
      </c>
      <c r="G1412" s="1">
        <v>45710</v>
      </c>
      <c r="H1412" t="s">
        <v>12</v>
      </c>
      <c r="I1412" t="s">
        <v>36</v>
      </c>
      <c r="J1412">
        <v>1</v>
      </c>
      <c r="K1412" t="s">
        <v>4</v>
      </c>
      <c r="L1412" t="s">
        <v>18</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1497</v>
      </c>
      <c r="B1413" t="s">
        <v>11</v>
      </c>
      <c r="C1413">
        <v>4</v>
      </c>
      <c r="D1413">
        <v>104.8</v>
      </c>
      <c r="E1413">
        <v>419.2</v>
      </c>
      <c r="F1413" s="1">
        <v>45711</v>
      </c>
      <c r="G1413" s="1">
        <v>45713</v>
      </c>
      <c r="H1413" t="s">
        <v>74</v>
      </c>
      <c r="I1413" t="s">
        <v>3</v>
      </c>
      <c r="J1413">
        <v>4</v>
      </c>
      <c r="K1413" t="s">
        <v>4</v>
      </c>
      <c r="L1413" t="s">
        <v>18</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1498</v>
      </c>
      <c r="B1414" t="s">
        <v>31</v>
      </c>
      <c r="C1414">
        <v>6</v>
      </c>
      <c r="D1414">
        <v>67.400000000000006</v>
      </c>
      <c r="E1414">
        <v>404.40000000000003</v>
      </c>
      <c r="F1414" s="1">
        <v>45711</v>
      </c>
      <c r="G1414" s="1">
        <v>45712</v>
      </c>
      <c r="H1414" t="s">
        <v>12</v>
      </c>
      <c r="I1414" t="s">
        <v>36</v>
      </c>
      <c r="J1414">
        <v>4</v>
      </c>
      <c r="K1414" t="s">
        <v>4</v>
      </c>
      <c r="L1414" t="s">
        <v>18</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1499</v>
      </c>
      <c r="B1415" t="s">
        <v>24</v>
      </c>
      <c r="C1415">
        <v>2</v>
      </c>
      <c r="D1415">
        <v>115.2</v>
      </c>
      <c r="E1415">
        <v>230.4</v>
      </c>
      <c r="F1415" s="1">
        <v>45711</v>
      </c>
      <c r="G1415" s="1">
        <v>45712</v>
      </c>
      <c r="H1415" t="s">
        <v>12</v>
      </c>
      <c r="I1415" t="s">
        <v>20</v>
      </c>
      <c r="J1415">
        <v>4</v>
      </c>
      <c r="K1415" t="s">
        <v>4</v>
      </c>
      <c r="L1415" t="s">
        <v>34</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1500</v>
      </c>
      <c r="B1416" t="s">
        <v>29</v>
      </c>
      <c r="C1416">
        <v>29</v>
      </c>
      <c r="D1416">
        <v>15.5</v>
      </c>
      <c r="E1416">
        <v>449.5</v>
      </c>
      <c r="F1416" s="1">
        <v>45711</v>
      </c>
      <c r="G1416" s="1">
        <v>45713</v>
      </c>
      <c r="H1416" t="s">
        <v>12</v>
      </c>
      <c r="I1416" t="s">
        <v>3</v>
      </c>
      <c r="J1416">
        <v>3</v>
      </c>
      <c r="K1416" t="s">
        <v>4</v>
      </c>
      <c r="L1416" t="s">
        <v>143</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1501</v>
      </c>
      <c r="B1417" t="s">
        <v>24</v>
      </c>
      <c r="C1417">
        <v>11</v>
      </c>
      <c r="D1417">
        <v>66.400000000000006</v>
      </c>
      <c r="E1417">
        <v>730.40000000000009</v>
      </c>
      <c r="F1417" s="1">
        <v>45711</v>
      </c>
      <c r="G1417" s="1">
        <v>45713</v>
      </c>
      <c r="H1417" t="s">
        <v>12</v>
      </c>
      <c r="I1417" t="s">
        <v>3</v>
      </c>
      <c r="J1417">
        <v>4</v>
      </c>
      <c r="K1417" t="s">
        <v>4</v>
      </c>
      <c r="L1417" t="s">
        <v>40</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1502</v>
      </c>
      <c r="B1418" t="s">
        <v>31</v>
      </c>
      <c r="C1418">
        <v>12</v>
      </c>
      <c r="D1418">
        <v>68.099999999999994</v>
      </c>
      <c r="E1418">
        <v>817.19999999999993</v>
      </c>
      <c r="F1418" s="1">
        <v>45711</v>
      </c>
      <c r="G1418" s="1">
        <v>45712</v>
      </c>
      <c r="H1418" t="s">
        <v>12</v>
      </c>
      <c r="I1418" t="s">
        <v>25</v>
      </c>
      <c r="J1418">
        <v>4</v>
      </c>
      <c r="K1418" t="s">
        <v>4</v>
      </c>
      <c r="L1418" t="s">
        <v>47</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1503</v>
      </c>
      <c r="B1419" t="s">
        <v>29</v>
      </c>
      <c r="C1419">
        <v>5</v>
      </c>
      <c r="D1419">
        <v>32.5</v>
      </c>
      <c r="E1419">
        <v>162.5</v>
      </c>
      <c r="F1419" s="1">
        <v>45711</v>
      </c>
      <c r="G1419" s="1">
        <v>45715</v>
      </c>
      <c r="H1419" t="s">
        <v>8</v>
      </c>
      <c r="I1419" t="s">
        <v>25</v>
      </c>
      <c r="J1419">
        <v>3</v>
      </c>
      <c r="K1419" t="s">
        <v>4</v>
      </c>
      <c r="L1419" t="s">
        <v>47</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1504</v>
      </c>
      <c r="B1420" t="s">
        <v>108</v>
      </c>
      <c r="C1420">
        <v>3</v>
      </c>
      <c r="D1420">
        <v>61.2</v>
      </c>
      <c r="E1420">
        <v>183.60000000000002</v>
      </c>
      <c r="F1420" s="1">
        <v>45711</v>
      </c>
      <c r="G1420" s="1">
        <v>45713</v>
      </c>
      <c r="H1420" t="s">
        <v>12</v>
      </c>
      <c r="I1420" t="s">
        <v>20</v>
      </c>
      <c r="J1420">
        <v>3</v>
      </c>
      <c r="K1420" t="s">
        <v>4</v>
      </c>
      <c r="L1420" t="s">
        <v>47</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1505</v>
      </c>
      <c r="B1421" t="s">
        <v>31</v>
      </c>
      <c r="C1421">
        <v>2</v>
      </c>
      <c r="D1421">
        <v>54.2</v>
      </c>
      <c r="E1421">
        <v>108.4</v>
      </c>
      <c r="F1421" s="1">
        <v>45711</v>
      </c>
      <c r="G1421" s="1">
        <v>45712</v>
      </c>
      <c r="H1421" t="s">
        <v>12</v>
      </c>
      <c r="I1421" t="s">
        <v>20</v>
      </c>
      <c r="J1421">
        <v>4</v>
      </c>
      <c r="K1421" t="s">
        <v>4</v>
      </c>
      <c r="L1421" t="s">
        <v>47</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1506</v>
      </c>
      <c r="B1422" t="s">
        <v>52</v>
      </c>
      <c r="C1422">
        <v>8</v>
      </c>
      <c r="D1422">
        <v>28.7</v>
      </c>
      <c r="E1422">
        <v>229.6</v>
      </c>
      <c r="F1422" s="1">
        <v>45711</v>
      </c>
      <c r="G1422" s="1">
        <v>45713</v>
      </c>
      <c r="H1422" t="s">
        <v>8</v>
      </c>
      <c r="I1422" t="s">
        <v>20</v>
      </c>
      <c r="J1422">
        <v>4</v>
      </c>
      <c r="K1422" t="s">
        <v>4</v>
      </c>
      <c r="L1422" t="s">
        <v>57</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1507</v>
      </c>
      <c r="B1423" t="s">
        <v>54</v>
      </c>
      <c r="C1423">
        <v>6</v>
      </c>
      <c r="D1423">
        <v>38.200000000000003</v>
      </c>
      <c r="E1423">
        <v>229.20000000000002</v>
      </c>
      <c r="F1423" s="1">
        <v>45711</v>
      </c>
      <c r="G1423" s="1">
        <v>45715</v>
      </c>
      <c r="H1423" t="s">
        <v>12</v>
      </c>
      <c r="I1423" t="s">
        <v>3</v>
      </c>
      <c r="J1423">
        <v>3</v>
      </c>
      <c r="K1423" t="s">
        <v>4</v>
      </c>
      <c r="L1423" t="s">
        <v>57</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1508</v>
      </c>
      <c r="B1424" t="s">
        <v>29</v>
      </c>
      <c r="C1424">
        <v>12</v>
      </c>
      <c r="D1424">
        <v>17.600000000000001</v>
      </c>
      <c r="E1424">
        <v>211.20000000000002</v>
      </c>
      <c r="F1424" s="1">
        <v>45711</v>
      </c>
      <c r="G1424" s="1">
        <v>45712</v>
      </c>
      <c r="H1424" t="s">
        <v>12</v>
      </c>
      <c r="I1424" t="s">
        <v>25</v>
      </c>
      <c r="J1424">
        <v>3</v>
      </c>
      <c r="K1424" t="s">
        <v>4</v>
      </c>
      <c r="L1424" t="s">
        <v>57</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1509</v>
      </c>
      <c r="B1425" t="s">
        <v>39</v>
      </c>
      <c r="C1425">
        <v>3</v>
      </c>
      <c r="D1425">
        <v>74.599999999999994</v>
      </c>
      <c r="E1425">
        <v>223.79999999999998</v>
      </c>
      <c r="F1425" s="1">
        <v>45711</v>
      </c>
      <c r="G1425" s="1">
        <v>45711</v>
      </c>
      <c r="H1425" t="s">
        <v>12</v>
      </c>
      <c r="I1425" t="s">
        <v>25</v>
      </c>
      <c r="J1425">
        <v>4</v>
      </c>
      <c r="K1425" t="s">
        <v>4</v>
      </c>
      <c r="L1425" t="s">
        <v>62</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1510</v>
      </c>
      <c r="B1426" t="s">
        <v>113</v>
      </c>
      <c r="C1426">
        <v>15</v>
      </c>
      <c r="D1426">
        <v>72.599999999999994</v>
      </c>
      <c r="E1426">
        <v>1089</v>
      </c>
      <c r="F1426" s="1">
        <v>45711</v>
      </c>
      <c r="G1426" s="1">
        <v>45711</v>
      </c>
      <c r="H1426" t="s">
        <v>2</v>
      </c>
      <c r="I1426" t="s">
        <v>20</v>
      </c>
      <c r="J1426">
        <v>3</v>
      </c>
      <c r="K1426" t="s">
        <v>4</v>
      </c>
      <c r="L1426" t="s">
        <v>62</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1511</v>
      </c>
      <c r="B1427" t="s">
        <v>27</v>
      </c>
      <c r="C1427">
        <v>1</v>
      </c>
      <c r="D1427">
        <v>62.3</v>
      </c>
      <c r="E1427">
        <v>62.3</v>
      </c>
      <c r="F1427" s="1">
        <v>45711</v>
      </c>
      <c r="G1427" s="1">
        <v>45712</v>
      </c>
      <c r="H1427" t="s">
        <v>12</v>
      </c>
      <c r="I1427" t="s">
        <v>20</v>
      </c>
      <c r="J1427">
        <v>4</v>
      </c>
      <c r="K1427" t="s">
        <v>4</v>
      </c>
      <c r="L1427" t="s">
        <v>62</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1512</v>
      </c>
      <c r="B1428" t="s">
        <v>15</v>
      </c>
      <c r="C1428">
        <v>3</v>
      </c>
      <c r="D1428">
        <v>33.799999999999997</v>
      </c>
      <c r="E1428">
        <v>101.39999999999999</v>
      </c>
      <c r="F1428" s="1">
        <v>45711</v>
      </c>
      <c r="G1428" s="1">
        <v>45713</v>
      </c>
      <c r="H1428" t="s">
        <v>8</v>
      </c>
      <c r="I1428" t="s">
        <v>3</v>
      </c>
      <c r="J1428">
        <v>5</v>
      </c>
      <c r="K1428" t="s">
        <v>4</v>
      </c>
      <c r="L1428" t="s">
        <v>98</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1513</v>
      </c>
      <c r="B1429" t="s">
        <v>31</v>
      </c>
      <c r="C1429">
        <v>1</v>
      </c>
      <c r="D1429">
        <v>85.7</v>
      </c>
      <c r="E1429">
        <v>85.7</v>
      </c>
      <c r="F1429" s="1">
        <v>45711</v>
      </c>
      <c r="G1429" s="1">
        <v>45714</v>
      </c>
      <c r="H1429" t="s">
        <v>8</v>
      </c>
      <c r="I1429" t="s">
        <v>36</v>
      </c>
      <c r="J1429">
        <v>3</v>
      </c>
      <c r="K1429" t="s">
        <v>4</v>
      </c>
      <c r="L1429" t="s">
        <v>100</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1514</v>
      </c>
      <c r="B1430" t="s">
        <v>24</v>
      </c>
      <c r="C1430">
        <v>2</v>
      </c>
      <c r="D1430">
        <v>92.1</v>
      </c>
      <c r="E1430">
        <v>184.2</v>
      </c>
      <c r="F1430" s="1">
        <v>45711</v>
      </c>
      <c r="G1430" s="1">
        <v>45713</v>
      </c>
      <c r="H1430" t="s">
        <v>8</v>
      </c>
      <c r="I1430" t="s">
        <v>20</v>
      </c>
      <c r="J1430">
        <v>4</v>
      </c>
      <c r="K1430" t="s">
        <v>4</v>
      </c>
      <c r="L1430" t="s">
        <v>100</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1515</v>
      </c>
      <c r="B1431" t="s">
        <v>113</v>
      </c>
      <c r="C1431">
        <v>3</v>
      </c>
      <c r="D1431">
        <v>65.099999999999994</v>
      </c>
      <c r="E1431">
        <v>195.29999999999998</v>
      </c>
      <c r="F1431" s="1">
        <v>45711</v>
      </c>
      <c r="G1431" s="1">
        <v>45714</v>
      </c>
      <c r="H1431" t="s">
        <v>8</v>
      </c>
      <c r="I1431" t="s">
        <v>3</v>
      </c>
      <c r="J1431">
        <v>4</v>
      </c>
      <c r="K1431" t="s">
        <v>4</v>
      </c>
      <c r="L1431" t="s">
        <v>9</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1516</v>
      </c>
      <c r="B1432" t="s">
        <v>31</v>
      </c>
      <c r="C1432">
        <v>7</v>
      </c>
      <c r="D1432">
        <v>20.3</v>
      </c>
      <c r="E1432">
        <v>142.1</v>
      </c>
      <c r="F1432" s="1">
        <v>45711</v>
      </c>
      <c r="G1432" s="1">
        <v>45712</v>
      </c>
      <c r="H1432" t="s">
        <v>12</v>
      </c>
      <c r="I1432" t="s">
        <v>25</v>
      </c>
      <c r="J1432">
        <v>5</v>
      </c>
      <c r="K1432" t="s">
        <v>4</v>
      </c>
      <c r="L1432" t="s">
        <v>13</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1517</v>
      </c>
      <c r="B1433" t="s">
        <v>156</v>
      </c>
      <c r="C1433">
        <v>2</v>
      </c>
      <c r="D1433">
        <v>29.8</v>
      </c>
      <c r="E1433">
        <v>59.6</v>
      </c>
      <c r="F1433" s="1">
        <v>45711</v>
      </c>
      <c r="G1433" s="1">
        <v>45713</v>
      </c>
      <c r="H1433" t="s">
        <v>12</v>
      </c>
      <c r="I1433" t="s">
        <v>20</v>
      </c>
      <c r="J1433">
        <v>5</v>
      </c>
      <c r="K1433" t="s">
        <v>4</v>
      </c>
      <c r="L1433" t="s">
        <v>319</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1518</v>
      </c>
      <c r="B1434" t="s">
        <v>1</v>
      </c>
      <c r="C1434">
        <v>2</v>
      </c>
      <c r="D1434">
        <v>24.2</v>
      </c>
      <c r="E1434">
        <v>48.4</v>
      </c>
      <c r="F1434" s="1">
        <v>45711</v>
      </c>
      <c r="G1434" s="1">
        <v>45713</v>
      </c>
      <c r="H1434" t="s">
        <v>12</v>
      </c>
      <c r="I1434" t="s">
        <v>36</v>
      </c>
      <c r="J1434">
        <v>5</v>
      </c>
      <c r="K1434" t="s">
        <v>4</v>
      </c>
      <c r="L1434" t="s">
        <v>18</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1519</v>
      </c>
      <c r="B1435" t="s">
        <v>15</v>
      </c>
      <c r="C1435">
        <v>1</v>
      </c>
      <c r="D1435">
        <v>57.3</v>
      </c>
      <c r="E1435">
        <v>57.3</v>
      </c>
      <c r="F1435" s="1">
        <v>45711</v>
      </c>
      <c r="G1435" s="1">
        <v>45713</v>
      </c>
      <c r="H1435" t="s">
        <v>8</v>
      </c>
      <c r="I1435" t="s">
        <v>3</v>
      </c>
      <c r="J1435">
        <v>4</v>
      </c>
      <c r="K1435" t="s">
        <v>4</v>
      </c>
      <c r="L1435" t="s">
        <v>18</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1520</v>
      </c>
      <c r="B1436" t="s">
        <v>11</v>
      </c>
      <c r="C1436">
        <v>1</v>
      </c>
      <c r="D1436">
        <v>108.9</v>
      </c>
      <c r="E1436">
        <v>108.9</v>
      </c>
      <c r="F1436" s="1">
        <v>45711</v>
      </c>
      <c r="G1436" s="1">
        <v>45713</v>
      </c>
      <c r="H1436" t="s">
        <v>12</v>
      </c>
      <c r="I1436" t="s">
        <v>20</v>
      </c>
      <c r="J1436">
        <v>4</v>
      </c>
      <c r="K1436" t="s">
        <v>4</v>
      </c>
      <c r="L1436" t="s">
        <v>18</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1521</v>
      </c>
      <c r="B1437" t="s">
        <v>27</v>
      </c>
      <c r="C1437">
        <v>5</v>
      </c>
      <c r="D1437">
        <v>50.7</v>
      </c>
      <c r="E1437">
        <v>253.5</v>
      </c>
      <c r="F1437" s="1">
        <v>45711</v>
      </c>
      <c r="G1437" s="1">
        <v>45712</v>
      </c>
      <c r="H1437" t="s">
        <v>12</v>
      </c>
      <c r="I1437" t="s">
        <v>3</v>
      </c>
      <c r="J1437">
        <v>4</v>
      </c>
      <c r="K1437" t="s">
        <v>4</v>
      </c>
      <c r="L1437" t="s">
        <v>18</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1522</v>
      </c>
      <c r="B1438" t="s">
        <v>27</v>
      </c>
      <c r="C1438">
        <v>9</v>
      </c>
      <c r="D1438">
        <v>66.099999999999994</v>
      </c>
      <c r="E1438">
        <v>594.9</v>
      </c>
      <c r="F1438" s="1">
        <v>45711</v>
      </c>
      <c r="G1438" s="1">
        <v>45725</v>
      </c>
      <c r="H1438" t="s">
        <v>12</v>
      </c>
      <c r="I1438" t="s">
        <v>20</v>
      </c>
      <c r="J1438">
        <v>4</v>
      </c>
      <c r="K1438" t="s">
        <v>4</v>
      </c>
      <c r="L1438" t="s">
        <v>18</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1523</v>
      </c>
      <c r="B1439" t="s">
        <v>54</v>
      </c>
      <c r="C1439">
        <v>5</v>
      </c>
      <c r="D1439">
        <v>36.700000000000003</v>
      </c>
      <c r="E1439">
        <v>183.5</v>
      </c>
      <c r="F1439" s="1">
        <v>45711</v>
      </c>
      <c r="G1439" s="1">
        <v>45715</v>
      </c>
      <c r="H1439" t="s">
        <v>12</v>
      </c>
      <c r="I1439" t="s">
        <v>55</v>
      </c>
      <c r="J1439">
        <v>4</v>
      </c>
      <c r="K1439" t="s">
        <v>4</v>
      </c>
      <c r="L1439" t="s">
        <v>18</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1524</v>
      </c>
      <c r="B1440" t="s">
        <v>29</v>
      </c>
      <c r="C1440">
        <v>17</v>
      </c>
      <c r="D1440">
        <v>19.3</v>
      </c>
      <c r="E1440">
        <v>328.1</v>
      </c>
      <c r="F1440" s="1">
        <v>45711</v>
      </c>
      <c r="G1440" s="1">
        <v>45713</v>
      </c>
      <c r="H1440" t="s">
        <v>8</v>
      </c>
      <c r="I1440" t="s">
        <v>3</v>
      </c>
      <c r="J1440">
        <v>4</v>
      </c>
      <c r="K1440" t="s">
        <v>4</v>
      </c>
      <c r="L1440" t="s">
        <v>530</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1525</v>
      </c>
      <c r="B1441" t="s">
        <v>29</v>
      </c>
      <c r="C1441">
        <v>4</v>
      </c>
      <c r="D1441">
        <v>20.7</v>
      </c>
      <c r="E1441">
        <v>82.8</v>
      </c>
      <c r="F1441" s="1">
        <v>45711</v>
      </c>
      <c r="G1441" s="1">
        <v>45712</v>
      </c>
      <c r="H1441" t="s">
        <v>8</v>
      </c>
      <c r="I1441" t="s">
        <v>20</v>
      </c>
      <c r="J1441">
        <v>5</v>
      </c>
      <c r="K1441" t="s">
        <v>4</v>
      </c>
      <c r="L1441" t="s">
        <v>40</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1526</v>
      </c>
      <c r="B1442" t="s">
        <v>22</v>
      </c>
      <c r="C1442">
        <v>3</v>
      </c>
      <c r="D1442">
        <v>54.7</v>
      </c>
      <c r="E1442">
        <v>164.10000000000002</v>
      </c>
      <c r="F1442" s="1">
        <v>45711</v>
      </c>
      <c r="G1442" s="1">
        <v>45711</v>
      </c>
      <c r="H1442" t="s">
        <v>74</v>
      </c>
      <c r="I1442" t="s">
        <v>20</v>
      </c>
      <c r="J1442">
        <v>2</v>
      </c>
      <c r="K1442" t="s">
        <v>4</v>
      </c>
      <c r="L1442" t="s">
        <v>40</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1527</v>
      </c>
      <c r="B1443" t="s">
        <v>17</v>
      </c>
      <c r="C1443">
        <v>2</v>
      </c>
      <c r="D1443">
        <v>19.8</v>
      </c>
      <c r="E1443">
        <v>39.6</v>
      </c>
      <c r="F1443" s="1">
        <v>45711</v>
      </c>
      <c r="G1443" s="1">
        <v>45715</v>
      </c>
      <c r="H1443" t="s">
        <v>12</v>
      </c>
      <c r="I1443" t="s">
        <v>55</v>
      </c>
      <c r="J1443">
        <v>3</v>
      </c>
      <c r="K1443" t="s">
        <v>4</v>
      </c>
      <c r="L1443" t="s">
        <v>47</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1528</v>
      </c>
      <c r="B1444" t="s">
        <v>27</v>
      </c>
      <c r="C1444">
        <v>1</v>
      </c>
      <c r="D1444">
        <v>41.1</v>
      </c>
      <c r="E1444">
        <v>41.1</v>
      </c>
      <c r="F1444" s="1">
        <v>45711</v>
      </c>
      <c r="G1444" s="1">
        <v>45713</v>
      </c>
      <c r="H1444" t="s">
        <v>12</v>
      </c>
      <c r="I1444" t="s">
        <v>3</v>
      </c>
      <c r="J1444">
        <v>5</v>
      </c>
      <c r="K1444" t="s">
        <v>4</v>
      </c>
      <c r="L1444" t="s">
        <v>47</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1529</v>
      </c>
      <c r="B1445" t="s">
        <v>52</v>
      </c>
      <c r="C1445">
        <v>8</v>
      </c>
      <c r="D1445">
        <v>43.5</v>
      </c>
      <c r="E1445">
        <v>348</v>
      </c>
      <c r="F1445" s="1">
        <v>45711</v>
      </c>
      <c r="G1445" s="1">
        <v>45715</v>
      </c>
      <c r="H1445" t="s">
        <v>12</v>
      </c>
      <c r="I1445" t="s">
        <v>36</v>
      </c>
      <c r="J1445">
        <v>4</v>
      </c>
      <c r="K1445" t="s">
        <v>4</v>
      </c>
      <c r="L1445" t="s">
        <v>47</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1530</v>
      </c>
      <c r="B1446" t="s">
        <v>29</v>
      </c>
      <c r="C1446">
        <v>14</v>
      </c>
      <c r="D1446">
        <v>19</v>
      </c>
      <c r="E1446">
        <v>266</v>
      </c>
      <c r="F1446" s="1">
        <v>45711</v>
      </c>
      <c r="G1446" s="1">
        <v>45712</v>
      </c>
      <c r="H1446" t="s">
        <v>8</v>
      </c>
      <c r="I1446" t="s">
        <v>3</v>
      </c>
      <c r="J1446">
        <v>4</v>
      </c>
      <c r="K1446" t="s">
        <v>4</v>
      </c>
      <c r="L1446" t="s">
        <v>186</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1531</v>
      </c>
      <c r="B1447" t="s">
        <v>11</v>
      </c>
      <c r="C1447">
        <v>4</v>
      </c>
      <c r="D1447">
        <v>51.4</v>
      </c>
      <c r="E1447">
        <v>205.6</v>
      </c>
      <c r="F1447" s="1">
        <v>45711</v>
      </c>
      <c r="G1447" s="1">
        <v>45711</v>
      </c>
      <c r="H1447" t="s">
        <v>12</v>
      </c>
      <c r="I1447" t="s">
        <v>3</v>
      </c>
      <c r="J1447">
        <v>4</v>
      </c>
      <c r="K1447" t="s">
        <v>4</v>
      </c>
      <c r="L1447" t="s">
        <v>186</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1532</v>
      </c>
      <c r="B1448" t="s">
        <v>39</v>
      </c>
      <c r="C1448">
        <v>2</v>
      </c>
      <c r="D1448">
        <v>39.799999999999997</v>
      </c>
      <c r="E1448">
        <v>79.599999999999994</v>
      </c>
      <c r="F1448" s="1">
        <v>45711</v>
      </c>
      <c r="G1448" s="1">
        <v>45714</v>
      </c>
      <c r="H1448" t="s">
        <v>8</v>
      </c>
      <c r="I1448" t="s">
        <v>36</v>
      </c>
      <c r="J1448">
        <v>3</v>
      </c>
      <c r="K1448" t="s">
        <v>4</v>
      </c>
      <c r="L1448" t="s">
        <v>67</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1533</v>
      </c>
      <c r="B1449" t="s">
        <v>24</v>
      </c>
      <c r="C1449">
        <v>5</v>
      </c>
      <c r="D1449">
        <v>61</v>
      </c>
      <c r="E1449">
        <v>305</v>
      </c>
      <c r="F1449" s="1">
        <v>45711</v>
      </c>
      <c r="G1449" s="1">
        <v>45712</v>
      </c>
      <c r="H1449" t="s">
        <v>2</v>
      </c>
      <c r="I1449" t="s">
        <v>3</v>
      </c>
      <c r="J1449">
        <v>5</v>
      </c>
      <c r="K1449" t="s">
        <v>4</v>
      </c>
      <c r="L1449" t="s">
        <v>100</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1534</v>
      </c>
      <c r="B1450" t="s">
        <v>29</v>
      </c>
      <c r="C1450">
        <v>11</v>
      </c>
      <c r="D1450">
        <v>15.1</v>
      </c>
      <c r="E1450">
        <v>166.1</v>
      </c>
      <c r="F1450" s="1">
        <v>45712</v>
      </c>
      <c r="G1450" s="1">
        <v>45717</v>
      </c>
      <c r="H1450" t="s">
        <v>8</v>
      </c>
      <c r="I1450" t="s">
        <v>36</v>
      </c>
      <c r="J1450">
        <v>5</v>
      </c>
      <c r="K1450" t="s">
        <v>4</v>
      </c>
      <c r="L1450" t="s">
        <v>13</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1535</v>
      </c>
      <c r="B1451" t="s">
        <v>7</v>
      </c>
      <c r="C1451">
        <v>7</v>
      </c>
      <c r="D1451">
        <v>71.3</v>
      </c>
      <c r="E1451">
        <v>499.09999999999997</v>
      </c>
      <c r="F1451" s="1">
        <v>45712</v>
      </c>
      <c r="G1451" s="1">
        <v>45713</v>
      </c>
      <c r="H1451" t="s">
        <v>8</v>
      </c>
      <c r="I1451" t="s">
        <v>55</v>
      </c>
      <c r="J1451">
        <v>4</v>
      </c>
      <c r="K1451" t="s">
        <v>4</v>
      </c>
      <c r="L1451" t="s">
        <v>18</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1536</v>
      </c>
      <c r="B1452" t="s">
        <v>39</v>
      </c>
      <c r="C1452">
        <v>1</v>
      </c>
      <c r="D1452">
        <v>25.8</v>
      </c>
      <c r="E1452">
        <v>25.8</v>
      </c>
      <c r="F1452" s="1">
        <v>45712</v>
      </c>
      <c r="G1452" s="1">
        <v>45714</v>
      </c>
      <c r="H1452" t="s">
        <v>12</v>
      </c>
      <c r="I1452" t="s">
        <v>3</v>
      </c>
      <c r="J1452">
        <v>5</v>
      </c>
      <c r="K1452" t="s">
        <v>4</v>
      </c>
      <c r="L1452" t="s">
        <v>18</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1537</v>
      </c>
      <c r="B1453" t="s">
        <v>29</v>
      </c>
      <c r="C1453">
        <v>5</v>
      </c>
      <c r="D1453">
        <v>39.6</v>
      </c>
      <c r="E1453">
        <v>198</v>
      </c>
      <c r="F1453" s="1">
        <v>45712</v>
      </c>
      <c r="G1453" s="1">
        <v>45714</v>
      </c>
      <c r="H1453" t="s">
        <v>8</v>
      </c>
      <c r="I1453" t="s">
        <v>20</v>
      </c>
      <c r="J1453">
        <v>5</v>
      </c>
      <c r="K1453" t="s">
        <v>4</v>
      </c>
      <c r="L1453" t="s">
        <v>18</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1538</v>
      </c>
      <c r="B1454" t="s">
        <v>22</v>
      </c>
      <c r="C1454">
        <v>2</v>
      </c>
      <c r="D1454">
        <v>64</v>
      </c>
      <c r="E1454">
        <v>128</v>
      </c>
      <c r="F1454" s="1">
        <v>45712</v>
      </c>
      <c r="G1454" s="1">
        <v>45712</v>
      </c>
      <c r="H1454" t="s">
        <v>8</v>
      </c>
      <c r="I1454" t="s">
        <v>20</v>
      </c>
      <c r="J1454">
        <v>3</v>
      </c>
      <c r="K1454" t="s">
        <v>4</v>
      </c>
      <c r="L1454" t="s">
        <v>18</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1539</v>
      </c>
      <c r="B1455" t="s">
        <v>29</v>
      </c>
      <c r="C1455">
        <v>2</v>
      </c>
      <c r="D1455">
        <v>30.6</v>
      </c>
      <c r="E1455">
        <v>61.2</v>
      </c>
      <c r="F1455" s="1">
        <v>45712</v>
      </c>
      <c r="G1455" s="1">
        <v>45715</v>
      </c>
      <c r="H1455" t="s">
        <v>8</v>
      </c>
      <c r="I1455" t="s">
        <v>3</v>
      </c>
      <c r="J1455">
        <v>5</v>
      </c>
      <c r="K1455" t="s">
        <v>4</v>
      </c>
      <c r="L1455" t="s">
        <v>18</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1540</v>
      </c>
      <c r="B1456" t="s">
        <v>29</v>
      </c>
      <c r="C1456">
        <v>2</v>
      </c>
      <c r="D1456">
        <v>21.3</v>
      </c>
      <c r="E1456">
        <v>42.6</v>
      </c>
      <c r="F1456" s="1">
        <v>45712</v>
      </c>
      <c r="G1456" s="1">
        <v>45713</v>
      </c>
      <c r="H1456" t="s">
        <v>8</v>
      </c>
      <c r="I1456" t="s">
        <v>3</v>
      </c>
      <c r="J1456">
        <v>3</v>
      </c>
      <c r="K1456" t="s">
        <v>4</v>
      </c>
      <c r="L1456" t="s">
        <v>18</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1541</v>
      </c>
      <c r="B1457" t="s">
        <v>27</v>
      </c>
      <c r="C1457">
        <v>1</v>
      </c>
      <c r="D1457">
        <v>40.799999999999997</v>
      </c>
      <c r="E1457">
        <v>40.799999999999997</v>
      </c>
      <c r="F1457" s="1">
        <v>45712</v>
      </c>
      <c r="G1457" s="1">
        <v>45714</v>
      </c>
      <c r="H1457" t="s">
        <v>12</v>
      </c>
      <c r="I1457" t="s">
        <v>55</v>
      </c>
      <c r="J1457">
        <v>4</v>
      </c>
      <c r="K1457" t="s">
        <v>4</v>
      </c>
      <c r="L1457" t="s">
        <v>18</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1542</v>
      </c>
      <c r="B1458" t="s">
        <v>31</v>
      </c>
      <c r="C1458">
        <v>4</v>
      </c>
      <c r="D1458">
        <v>27.7</v>
      </c>
      <c r="E1458">
        <v>110.8</v>
      </c>
      <c r="F1458" s="1">
        <v>45712</v>
      </c>
      <c r="G1458" s="1">
        <v>45713</v>
      </c>
      <c r="H1458" t="s">
        <v>12</v>
      </c>
      <c r="I1458" t="s">
        <v>3</v>
      </c>
      <c r="J1458">
        <v>3</v>
      </c>
      <c r="K1458" t="s">
        <v>4</v>
      </c>
      <c r="L1458" t="s">
        <v>18</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1543</v>
      </c>
      <c r="B1459" t="s">
        <v>24</v>
      </c>
      <c r="C1459">
        <v>2</v>
      </c>
      <c r="D1459">
        <v>64.599999999999994</v>
      </c>
      <c r="E1459">
        <v>129.19999999999999</v>
      </c>
      <c r="F1459" s="1">
        <v>45712</v>
      </c>
      <c r="G1459" s="1">
        <v>45713</v>
      </c>
      <c r="H1459" t="s">
        <v>8</v>
      </c>
      <c r="I1459" t="s">
        <v>3</v>
      </c>
      <c r="J1459">
        <v>3</v>
      </c>
      <c r="K1459" t="s">
        <v>4</v>
      </c>
      <c r="L1459" t="s">
        <v>18</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1544</v>
      </c>
      <c r="B1460" t="s">
        <v>24</v>
      </c>
      <c r="C1460">
        <v>16</v>
      </c>
      <c r="D1460">
        <v>91.1</v>
      </c>
      <c r="E1460">
        <v>1457.6</v>
      </c>
      <c r="F1460" s="1">
        <v>45712</v>
      </c>
      <c r="G1460" s="1">
        <v>45713</v>
      </c>
      <c r="H1460" t="s">
        <v>12</v>
      </c>
      <c r="I1460" t="s">
        <v>20</v>
      </c>
      <c r="J1460">
        <v>5</v>
      </c>
      <c r="K1460" t="s">
        <v>4</v>
      </c>
      <c r="L1460" t="s">
        <v>18</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1545</v>
      </c>
      <c r="B1461" t="s">
        <v>7</v>
      </c>
      <c r="C1461">
        <v>1</v>
      </c>
      <c r="D1461">
        <v>39.5</v>
      </c>
      <c r="E1461">
        <v>39.5</v>
      </c>
      <c r="F1461" s="1">
        <v>45712</v>
      </c>
      <c r="G1461" s="1">
        <v>45720</v>
      </c>
      <c r="H1461" t="s">
        <v>12</v>
      </c>
      <c r="I1461" t="s">
        <v>3</v>
      </c>
      <c r="J1461">
        <v>4</v>
      </c>
      <c r="K1461" t="s">
        <v>4</v>
      </c>
      <c r="L1461" t="s">
        <v>18</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1546</v>
      </c>
      <c r="B1462" t="s">
        <v>31</v>
      </c>
      <c r="C1462">
        <v>2</v>
      </c>
      <c r="D1462">
        <v>21.8</v>
      </c>
      <c r="E1462">
        <v>43.6</v>
      </c>
      <c r="F1462" s="1">
        <v>45712</v>
      </c>
      <c r="G1462" s="1">
        <v>45716</v>
      </c>
      <c r="H1462" t="s">
        <v>8</v>
      </c>
      <c r="I1462" t="s">
        <v>55</v>
      </c>
      <c r="J1462">
        <v>5</v>
      </c>
      <c r="K1462" t="s">
        <v>4</v>
      </c>
      <c r="L1462" t="s">
        <v>18</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1547</v>
      </c>
      <c r="B1463" t="s">
        <v>29</v>
      </c>
      <c r="C1463">
        <v>2</v>
      </c>
      <c r="D1463">
        <v>51</v>
      </c>
      <c r="E1463">
        <v>102</v>
      </c>
      <c r="F1463" s="1">
        <v>45712</v>
      </c>
      <c r="G1463" s="1">
        <v>45715</v>
      </c>
      <c r="H1463" t="s">
        <v>8</v>
      </c>
      <c r="I1463" t="s">
        <v>36</v>
      </c>
      <c r="J1463">
        <v>5</v>
      </c>
      <c r="K1463" t="s">
        <v>4</v>
      </c>
      <c r="L1463" t="s">
        <v>18</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1548</v>
      </c>
      <c r="B1464" t="s">
        <v>11</v>
      </c>
      <c r="C1464">
        <v>1</v>
      </c>
      <c r="D1464">
        <v>92.6</v>
      </c>
      <c r="E1464">
        <v>92.6</v>
      </c>
      <c r="F1464" s="1">
        <v>45712</v>
      </c>
      <c r="G1464" s="1">
        <v>45715</v>
      </c>
      <c r="H1464" t="s">
        <v>12</v>
      </c>
      <c r="I1464" t="s">
        <v>3</v>
      </c>
      <c r="J1464">
        <v>5</v>
      </c>
      <c r="K1464" t="s">
        <v>4</v>
      </c>
      <c r="L1464" t="s">
        <v>323</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1549</v>
      </c>
      <c r="B1465" t="s">
        <v>31</v>
      </c>
      <c r="C1465">
        <v>2</v>
      </c>
      <c r="D1465">
        <v>31.1</v>
      </c>
      <c r="E1465">
        <v>62.2</v>
      </c>
      <c r="F1465" s="1">
        <v>45712</v>
      </c>
      <c r="G1465" s="1">
        <v>45717</v>
      </c>
      <c r="H1465" t="s">
        <v>2</v>
      </c>
      <c r="I1465" t="s">
        <v>20</v>
      </c>
      <c r="J1465">
        <v>1</v>
      </c>
      <c r="K1465" t="s">
        <v>4</v>
      </c>
      <c r="L1465" t="s">
        <v>143</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1550</v>
      </c>
      <c r="B1466" t="s">
        <v>22</v>
      </c>
      <c r="C1466">
        <v>3</v>
      </c>
      <c r="D1466">
        <v>56.4</v>
      </c>
      <c r="E1466">
        <v>169.2</v>
      </c>
      <c r="F1466" s="1">
        <v>45712</v>
      </c>
      <c r="G1466" s="1">
        <v>45713</v>
      </c>
      <c r="H1466" t="s">
        <v>2</v>
      </c>
      <c r="I1466" t="s">
        <v>20</v>
      </c>
      <c r="J1466">
        <v>4</v>
      </c>
      <c r="K1466" t="s">
        <v>4</v>
      </c>
      <c r="L1466" t="s">
        <v>40</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1551</v>
      </c>
      <c r="B1467" t="s">
        <v>31</v>
      </c>
      <c r="C1467">
        <v>1</v>
      </c>
      <c r="D1467">
        <v>41.9</v>
      </c>
      <c r="E1467">
        <v>41.9</v>
      </c>
      <c r="F1467" s="1">
        <v>45712</v>
      </c>
      <c r="G1467" s="1">
        <v>45712</v>
      </c>
      <c r="H1467" t="s">
        <v>8</v>
      </c>
      <c r="I1467" t="s">
        <v>20</v>
      </c>
      <c r="J1467">
        <v>4</v>
      </c>
      <c r="K1467" t="s">
        <v>4</v>
      </c>
      <c r="L1467" t="s">
        <v>40</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1552</v>
      </c>
      <c r="B1468" t="s">
        <v>39</v>
      </c>
      <c r="C1468">
        <v>7</v>
      </c>
      <c r="D1468">
        <v>45.9</v>
      </c>
      <c r="E1468">
        <v>321.3</v>
      </c>
      <c r="F1468" s="1">
        <v>45712</v>
      </c>
      <c r="G1468" s="1">
        <v>45713</v>
      </c>
      <c r="H1468" t="s">
        <v>8</v>
      </c>
      <c r="I1468" t="s">
        <v>36</v>
      </c>
      <c r="J1468">
        <v>5</v>
      </c>
      <c r="K1468" t="s">
        <v>4</v>
      </c>
      <c r="L1468" t="s">
        <v>47</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1553</v>
      </c>
      <c r="B1469" t="s">
        <v>66</v>
      </c>
      <c r="C1469">
        <v>9</v>
      </c>
      <c r="D1469">
        <v>24.4</v>
      </c>
      <c r="E1469">
        <v>219.6</v>
      </c>
      <c r="F1469" s="1">
        <v>45712</v>
      </c>
      <c r="G1469" s="1">
        <v>45716</v>
      </c>
      <c r="H1469" t="s">
        <v>8</v>
      </c>
      <c r="I1469" t="s">
        <v>36</v>
      </c>
      <c r="J1469">
        <v>5</v>
      </c>
      <c r="K1469" t="s">
        <v>4</v>
      </c>
      <c r="L1469" t="s">
        <v>47</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1554</v>
      </c>
      <c r="B1470" t="s">
        <v>29</v>
      </c>
      <c r="C1470">
        <v>1</v>
      </c>
      <c r="D1470">
        <v>18.2</v>
      </c>
      <c r="E1470">
        <v>18.2</v>
      </c>
      <c r="F1470" s="1">
        <v>45712</v>
      </c>
      <c r="G1470" s="1">
        <v>45713</v>
      </c>
      <c r="H1470" t="s">
        <v>12</v>
      </c>
      <c r="I1470" t="s">
        <v>25</v>
      </c>
      <c r="J1470">
        <v>5</v>
      </c>
      <c r="K1470" t="s">
        <v>4</v>
      </c>
      <c r="L1470" t="s">
        <v>47</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1555</v>
      </c>
      <c r="B1471" t="s">
        <v>29</v>
      </c>
      <c r="C1471">
        <v>4</v>
      </c>
      <c r="D1471">
        <v>51.2</v>
      </c>
      <c r="E1471">
        <v>204.8</v>
      </c>
      <c r="F1471" s="1">
        <v>45712</v>
      </c>
      <c r="G1471" s="1">
        <v>45713</v>
      </c>
      <c r="H1471" t="s">
        <v>12</v>
      </c>
      <c r="I1471" t="s">
        <v>3</v>
      </c>
      <c r="J1471">
        <v>4</v>
      </c>
      <c r="K1471" t="s">
        <v>4</v>
      </c>
      <c r="L1471" t="s">
        <v>47</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1556</v>
      </c>
      <c r="B1472" t="s">
        <v>24</v>
      </c>
      <c r="C1472">
        <v>1</v>
      </c>
      <c r="D1472">
        <v>59.7</v>
      </c>
      <c r="E1472">
        <v>59.7</v>
      </c>
      <c r="F1472" s="1">
        <v>45712</v>
      </c>
      <c r="G1472" s="1">
        <v>45715</v>
      </c>
      <c r="H1472" t="s">
        <v>8</v>
      </c>
      <c r="I1472" t="s">
        <v>3</v>
      </c>
      <c r="J1472">
        <v>5</v>
      </c>
      <c r="K1472" t="s">
        <v>4</v>
      </c>
      <c r="L1472" t="s">
        <v>47</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1557</v>
      </c>
      <c r="B1473" t="s">
        <v>17</v>
      </c>
      <c r="C1473">
        <v>2</v>
      </c>
      <c r="D1473">
        <v>33.6</v>
      </c>
      <c r="E1473">
        <v>67.2</v>
      </c>
      <c r="F1473" s="1">
        <v>45712</v>
      </c>
      <c r="G1473" s="1">
        <v>45714</v>
      </c>
      <c r="H1473" t="s">
        <v>12</v>
      </c>
      <c r="I1473" t="s">
        <v>3</v>
      </c>
      <c r="J1473">
        <v>4</v>
      </c>
      <c r="K1473" t="s">
        <v>4</v>
      </c>
      <c r="L1473" t="s">
        <v>88</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1558</v>
      </c>
      <c r="B1474" t="s">
        <v>54</v>
      </c>
      <c r="C1474">
        <v>1</v>
      </c>
      <c r="D1474">
        <v>90.4</v>
      </c>
      <c r="E1474">
        <v>90.4</v>
      </c>
      <c r="F1474" s="1">
        <v>45712</v>
      </c>
      <c r="G1474" s="1">
        <v>45716</v>
      </c>
      <c r="H1474" t="s">
        <v>8</v>
      </c>
      <c r="I1474" t="s">
        <v>20</v>
      </c>
      <c r="J1474">
        <v>5</v>
      </c>
      <c r="K1474" t="s">
        <v>4</v>
      </c>
      <c r="L1474" t="s">
        <v>59</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1559</v>
      </c>
      <c r="B1475" t="s">
        <v>52</v>
      </c>
      <c r="C1475">
        <v>3</v>
      </c>
      <c r="D1475">
        <v>70.3</v>
      </c>
      <c r="E1475">
        <v>210.89999999999998</v>
      </c>
      <c r="F1475" s="1">
        <v>45712</v>
      </c>
      <c r="G1475" s="1">
        <v>45712</v>
      </c>
      <c r="H1475" t="s">
        <v>8</v>
      </c>
      <c r="I1475" t="s">
        <v>20</v>
      </c>
      <c r="J1475">
        <v>5</v>
      </c>
      <c r="K1475" t="s">
        <v>4</v>
      </c>
      <c r="L1475" t="s">
        <v>62</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1560</v>
      </c>
      <c r="B1476" t="s">
        <v>17</v>
      </c>
      <c r="C1476">
        <v>2</v>
      </c>
      <c r="D1476">
        <v>20.5</v>
      </c>
      <c r="E1476">
        <v>41</v>
      </c>
      <c r="F1476" s="1">
        <v>45712</v>
      </c>
      <c r="G1476" s="1">
        <v>45715</v>
      </c>
      <c r="H1476" t="s">
        <v>12</v>
      </c>
      <c r="I1476" t="s">
        <v>3</v>
      </c>
      <c r="J1476">
        <v>3</v>
      </c>
      <c r="K1476" t="s">
        <v>4</v>
      </c>
      <c r="L1476" t="s">
        <v>62</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1561</v>
      </c>
      <c r="B1477" t="s">
        <v>22</v>
      </c>
      <c r="C1477">
        <v>11</v>
      </c>
      <c r="D1477">
        <v>37.6</v>
      </c>
      <c r="E1477">
        <v>413.6</v>
      </c>
      <c r="F1477" s="1">
        <v>45712</v>
      </c>
      <c r="G1477" s="1">
        <v>45713</v>
      </c>
      <c r="H1477" t="s">
        <v>8</v>
      </c>
      <c r="I1477" t="s">
        <v>3</v>
      </c>
      <c r="J1477">
        <v>4</v>
      </c>
      <c r="K1477" t="s">
        <v>4</v>
      </c>
      <c r="L1477" t="s">
        <v>362</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1562</v>
      </c>
      <c r="B1478" t="s">
        <v>22</v>
      </c>
      <c r="C1478">
        <v>4</v>
      </c>
      <c r="D1478">
        <v>61.5</v>
      </c>
      <c r="E1478">
        <v>246</v>
      </c>
      <c r="F1478" s="1">
        <v>45712</v>
      </c>
      <c r="G1478" s="1">
        <v>45719</v>
      </c>
      <c r="H1478" t="s">
        <v>12</v>
      </c>
      <c r="I1478" t="s">
        <v>20</v>
      </c>
      <c r="J1478">
        <v>2</v>
      </c>
      <c r="K1478" t="s">
        <v>4</v>
      </c>
      <c r="L1478" t="s">
        <v>67</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1563</v>
      </c>
      <c r="B1479" t="s">
        <v>31</v>
      </c>
      <c r="C1479">
        <v>1</v>
      </c>
      <c r="D1479">
        <v>33.5</v>
      </c>
      <c r="E1479">
        <v>33.5</v>
      </c>
      <c r="F1479" s="1">
        <v>45713</v>
      </c>
      <c r="G1479" s="1">
        <v>45717</v>
      </c>
      <c r="H1479" t="s">
        <v>8</v>
      </c>
      <c r="I1479" t="s">
        <v>55</v>
      </c>
      <c r="J1479">
        <v>3</v>
      </c>
      <c r="K1479" t="s">
        <v>4</v>
      </c>
      <c r="L1479" t="s">
        <v>100</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1564</v>
      </c>
      <c r="B1480" t="s">
        <v>17</v>
      </c>
      <c r="C1480">
        <v>3</v>
      </c>
      <c r="D1480">
        <v>29.3</v>
      </c>
      <c r="E1480">
        <v>87.9</v>
      </c>
      <c r="F1480" s="1">
        <v>45713</v>
      </c>
      <c r="G1480" s="1">
        <v>45715</v>
      </c>
      <c r="H1480" t="s">
        <v>12</v>
      </c>
      <c r="I1480" t="s">
        <v>20</v>
      </c>
      <c r="J1480">
        <v>5</v>
      </c>
      <c r="K1480" t="s">
        <v>4</v>
      </c>
      <c r="L1480" t="s">
        <v>9</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1565</v>
      </c>
      <c r="B1481" t="s">
        <v>11</v>
      </c>
      <c r="C1481">
        <v>2</v>
      </c>
      <c r="D1481">
        <v>125.9</v>
      </c>
      <c r="E1481">
        <v>251.8</v>
      </c>
      <c r="F1481" s="1">
        <v>45713</v>
      </c>
      <c r="G1481" s="1">
        <v>45718</v>
      </c>
      <c r="H1481" t="s">
        <v>12</v>
      </c>
      <c r="I1481" t="s">
        <v>55</v>
      </c>
      <c r="J1481">
        <v>3</v>
      </c>
      <c r="K1481" t="s">
        <v>4</v>
      </c>
      <c r="L1481" t="s">
        <v>9</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1566</v>
      </c>
      <c r="B1482" t="s">
        <v>22</v>
      </c>
      <c r="C1482">
        <v>5</v>
      </c>
      <c r="D1482">
        <v>29.3</v>
      </c>
      <c r="E1482">
        <v>146.5</v>
      </c>
      <c r="F1482" s="1">
        <v>45713</v>
      </c>
      <c r="G1482" s="1">
        <v>45713</v>
      </c>
      <c r="H1482" t="s">
        <v>8</v>
      </c>
      <c r="I1482" t="s">
        <v>25</v>
      </c>
      <c r="J1482">
        <v>4</v>
      </c>
      <c r="K1482" t="s">
        <v>4</v>
      </c>
      <c r="L1482" t="s">
        <v>572</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1567</v>
      </c>
      <c r="B1483" t="s">
        <v>31</v>
      </c>
      <c r="C1483">
        <v>1</v>
      </c>
      <c r="D1483">
        <v>37.799999999999997</v>
      </c>
      <c r="E1483">
        <v>37.799999999999997</v>
      </c>
      <c r="F1483" s="1">
        <v>45713</v>
      </c>
      <c r="G1483" s="1">
        <v>45716</v>
      </c>
      <c r="H1483" t="s">
        <v>12</v>
      </c>
      <c r="I1483" t="s">
        <v>3</v>
      </c>
      <c r="J1483">
        <v>5</v>
      </c>
      <c r="K1483" t="s">
        <v>4</v>
      </c>
      <c r="L1483" t="s">
        <v>18</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1568</v>
      </c>
      <c r="B1484" t="s">
        <v>1</v>
      </c>
      <c r="C1484">
        <v>4</v>
      </c>
      <c r="D1484">
        <v>31.7</v>
      </c>
      <c r="E1484">
        <v>126.8</v>
      </c>
      <c r="F1484" s="1">
        <v>45713</v>
      </c>
      <c r="G1484" s="1">
        <v>45714</v>
      </c>
      <c r="H1484" t="s">
        <v>8</v>
      </c>
      <c r="I1484" t="s">
        <v>25</v>
      </c>
      <c r="J1484">
        <v>5</v>
      </c>
      <c r="K1484" t="s">
        <v>4</v>
      </c>
      <c r="L1484" t="s">
        <v>18</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1569</v>
      </c>
      <c r="B1485" t="s">
        <v>29</v>
      </c>
      <c r="C1485">
        <v>5</v>
      </c>
      <c r="D1485">
        <v>26.3</v>
      </c>
      <c r="E1485">
        <v>131.5</v>
      </c>
      <c r="F1485" s="1">
        <v>45713</v>
      </c>
      <c r="G1485" s="1">
        <v>45714</v>
      </c>
      <c r="H1485" t="s">
        <v>12</v>
      </c>
      <c r="I1485" t="s">
        <v>36</v>
      </c>
      <c r="J1485">
        <v>5</v>
      </c>
      <c r="K1485" t="s">
        <v>4</v>
      </c>
      <c r="L1485" t="s">
        <v>18</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1570</v>
      </c>
      <c r="B1486" t="s">
        <v>29</v>
      </c>
      <c r="C1486">
        <v>3</v>
      </c>
      <c r="D1486">
        <v>23.1</v>
      </c>
      <c r="E1486">
        <v>69.300000000000011</v>
      </c>
      <c r="F1486" s="1">
        <v>45713</v>
      </c>
      <c r="G1486" s="1">
        <v>45714</v>
      </c>
      <c r="H1486" t="s">
        <v>74</v>
      </c>
      <c r="I1486" t="s">
        <v>25</v>
      </c>
      <c r="J1486">
        <v>3</v>
      </c>
      <c r="K1486" t="s">
        <v>4</v>
      </c>
      <c r="L1486" t="s">
        <v>18</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1571</v>
      </c>
      <c r="B1487" t="s">
        <v>17</v>
      </c>
      <c r="C1487">
        <v>1</v>
      </c>
      <c r="D1487">
        <v>22.3</v>
      </c>
      <c r="E1487">
        <v>22.3</v>
      </c>
      <c r="F1487" s="1">
        <v>45713</v>
      </c>
      <c r="G1487" s="1">
        <v>45715</v>
      </c>
      <c r="H1487" t="s">
        <v>12</v>
      </c>
      <c r="I1487" t="s">
        <v>25</v>
      </c>
      <c r="J1487">
        <v>4</v>
      </c>
      <c r="K1487" t="s">
        <v>4</v>
      </c>
      <c r="L1487" t="s">
        <v>18</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1572</v>
      </c>
      <c r="B1488" t="s">
        <v>54</v>
      </c>
      <c r="C1488">
        <v>2</v>
      </c>
      <c r="D1488">
        <v>99.5</v>
      </c>
      <c r="E1488">
        <v>199</v>
      </c>
      <c r="F1488" s="1">
        <v>45713</v>
      </c>
      <c r="G1488" s="1">
        <v>45715</v>
      </c>
      <c r="H1488" t="s">
        <v>12</v>
      </c>
      <c r="I1488" t="s">
        <v>25</v>
      </c>
      <c r="J1488">
        <v>4</v>
      </c>
      <c r="K1488" t="s">
        <v>4</v>
      </c>
      <c r="L1488" t="s">
        <v>18</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1573</v>
      </c>
      <c r="B1489" t="s">
        <v>54</v>
      </c>
      <c r="C1489">
        <v>4</v>
      </c>
      <c r="D1489">
        <v>47.4</v>
      </c>
      <c r="E1489">
        <v>189.6</v>
      </c>
      <c r="F1489" s="1">
        <v>45713</v>
      </c>
      <c r="G1489" s="1">
        <v>45716</v>
      </c>
      <c r="H1489" t="s">
        <v>12</v>
      </c>
      <c r="I1489" t="s">
        <v>20</v>
      </c>
      <c r="J1489">
        <v>4</v>
      </c>
      <c r="K1489" t="s">
        <v>4</v>
      </c>
      <c r="L1489" t="s">
        <v>18</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1574</v>
      </c>
      <c r="B1490" t="s">
        <v>1</v>
      </c>
      <c r="C1490">
        <v>11</v>
      </c>
      <c r="D1490">
        <v>37.5</v>
      </c>
      <c r="E1490">
        <v>412.5</v>
      </c>
      <c r="F1490" s="1">
        <v>45713</v>
      </c>
      <c r="G1490" s="1">
        <v>45715</v>
      </c>
      <c r="H1490" t="s">
        <v>12</v>
      </c>
      <c r="I1490" t="s">
        <v>3</v>
      </c>
      <c r="J1490">
        <v>1</v>
      </c>
      <c r="K1490" t="s">
        <v>4</v>
      </c>
      <c r="L1490" t="s">
        <v>18</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1575</v>
      </c>
      <c r="B1491" t="s">
        <v>39</v>
      </c>
      <c r="C1491">
        <v>1</v>
      </c>
      <c r="D1491">
        <v>45.1</v>
      </c>
      <c r="E1491">
        <v>45.1</v>
      </c>
      <c r="F1491" s="1">
        <v>45713</v>
      </c>
      <c r="G1491" s="1">
        <v>45718</v>
      </c>
      <c r="H1491" t="s">
        <v>8</v>
      </c>
      <c r="I1491" t="s">
        <v>36</v>
      </c>
      <c r="J1491">
        <v>5</v>
      </c>
      <c r="K1491" t="s">
        <v>4</v>
      </c>
      <c r="L1491" t="s">
        <v>171</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1576</v>
      </c>
      <c r="B1492" t="s">
        <v>22</v>
      </c>
      <c r="C1492">
        <v>10</v>
      </c>
      <c r="D1492">
        <v>34.4</v>
      </c>
      <c r="E1492">
        <v>344</v>
      </c>
      <c r="F1492" s="1">
        <v>45713</v>
      </c>
      <c r="G1492" s="1">
        <v>45716</v>
      </c>
      <c r="H1492" t="s">
        <v>8</v>
      </c>
      <c r="I1492" t="s">
        <v>25</v>
      </c>
      <c r="J1492">
        <v>4</v>
      </c>
      <c r="K1492" t="s">
        <v>4</v>
      </c>
      <c r="L1492" t="s">
        <v>83</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1577</v>
      </c>
      <c r="B1493" t="s">
        <v>17</v>
      </c>
      <c r="C1493">
        <v>2</v>
      </c>
      <c r="D1493">
        <v>38</v>
      </c>
      <c r="E1493">
        <v>76</v>
      </c>
      <c r="F1493" s="1">
        <v>45713</v>
      </c>
      <c r="G1493" s="1">
        <v>45715</v>
      </c>
      <c r="H1493" t="s">
        <v>12</v>
      </c>
      <c r="I1493" t="s">
        <v>20</v>
      </c>
      <c r="J1493">
        <v>4</v>
      </c>
      <c r="K1493" t="s">
        <v>4</v>
      </c>
      <c r="L1493" t="s">
        <v>37</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1578</v>
      </c>
      <c r="B1494" t="s">
        <v>15</v>
      </c>
      <c r="C1494">
        <v>14</v>
      </c>
      <c r="D1494">
        <v>32.4</v>
      </c>
      <c r="E1494">
        <v>453.59999999999997</v>
      </c>
      <c r="F1494" s="1">
        <v>45713</v>
      </c>
      <c r="G1494" s="1">
        <v>45716</v>
      </c>
      <c r="H1494" t="s">
        <v>8</v>
      </c>
      <c r="I1494" t="s">
        <v>55</v>
      </c>
      <c r="J1494">
        <v>4</v>
      </c>
      <c r="K1494" t="s">
        <v>4</v>
      </c>
      <c r="L1494" t="s">
        <v>40</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1579</v>
      </c>
      <c r="B1495" t="s">
        <v>24</v>
      </c>
      <c r="C1495">
        <v>3</v>
      </c>
      <c r="D1495">
        <v>40.9</v>
      </c>
      <c r="E1495">
        <v>122.69999999999999</v>
      </c>
      <c r="F1495" s="1">
        <v>45713</v>
      </c>
      <c r="G1495" s="1">
        <v>45713</v>
      </c>
      <c r="H1495" t="s">
        <v>2</v>
      </c>
      <c r="I1495" t="s">
        <v>20</v>
      </c>
      <c r="J1495">
        <v>4</v>
      </c>
      <c r="K1495" t="s">
        <v>4</v>
      </c>
      <c r="L1495" t="s">
        <v>47</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1580</v>
      </c>
      <c r="B1496" t="s">
        <v>27</v>
      </c>
      <c r="C1496">
        <v>7</v>
      </c>
      <c r="D1496">
        <v>76.2</v>
      </c>
      <c r="E1496">
        <v>533.4</v>
      </c>
      <c r="F1496" s="1">
        <v>45713</v>
      </c>
      <c r="G1496" s="1">
        <v>45715</v>
      </c>
      <c r="H1496" t="s">
        <v>12</v>
      </c>
      <c r="I1496" t="s">
        <v>25</v>
      </c>
      <c r="J1496">
        <v>3</v>
      </c>
      <c r="K1496" t="s">
        <v>4</v>
      </c>
      <c r="L1496" t="s">
        <v>47</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1581</v>
      </c>
      <c r="B1497" t="s">
        <v>11</v>
      </c>
      <c r="C1497">
        <v>1</v>
      </c>
      <c r="D1497">
        <v>85.6</v>
      </c>
      <c r="E1497">
        <v>85.6</v>
      </c>
      <c r="F1497" s="1">
        <v>45713</v>
      </c>
      <c r="G1497" s="1">
        <v>45715</v>
      </c>
      <c r="H1497" t="s">
        <v>8</v>
      </c>
      <c r="I1497" t="s">
        <v>25</v>
      </c>
      <c r="J1497">
        <v>4</v>
      </c>
      <c r="K1497" t="s">
        <v>4</v>
      </c>
      <c r="L1497" t="s">
        <v>47</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1582</v>
      </c>
      <c r="B1498" t="s">
        <v>17</v>
      </c>
      <c r="C1498">
        <v>4</v>
      </c>
      <c r="D1498">
        <v>25</v>
      </c>
      <c r="E1498">
        <v>100</v>
      </c>
      <c r="F1498" s="1">
        <v>45713</v>
      </c>
      <c r="G1498" s="1">
        <v>45715</v>
      </c>
      <c r="H1498" t="s">
        <v>12</v>
      </c>
      <c r="I1498" t="s">
        <v>25</v>
      </c>
      <c r="J1498">
        <v>5</v>
      </c>
      <c r="K1498" t="s">
        <v>4</v>
      </c>
      <c r="L1498" t="s">
        <v>47</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1583</v>
      </c>
      <c r="B1499" t="s">
        <v>11</v>
      </c>
      <c r="C1499">
        <v>5</v>
      </c>
      <c r="D1499">
        <v>150.69999999999999</v>
      </c>
      <c r="E1499">
        <v>753.5</v>
      </c>
      <c r="F1499" s="1">
        <v>45713</v>
      </c>
      <c r="G1499" s="1">
        <v>45714</v>
      </c>
      <c r="H1499" t="s">
        <v>2</v>
      </c>
      <c r="I1499" t="s">
        <v>3</v>
      </c>
      <c r="J1499">
        <v>5</v>
      </c>
      <c r="K1499" t="s">
        <v>4</v>
      </c>
      <c r="L1499" t="s">
        <v>47</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1584</v>
      </c>
      <c r="B1500" t="s">
        <v>29</v>
      </c>
      <c r="C1500">
        <v>1</v>
      </c>
      <c r="D1500">
        <v>19.600000000000001</v>
      </c>
      <c r="E1500">
        <v>19.600000000000001</v>
      </c>
      <c r="F1500" s="1">
        <v>45713</v>
      </c>
      <c r="G1500" s="1">
        <v>45714</v>
      </c>
      <c r="H1500" t="s">
        <v>8</v>
      </c>
      <c r="I1500" t="s">
        <v>20</v>
      </c>
      <c r="J1500">
        <v>2</v>
      </c>
      <c r="K1500" t="s">
        <v>4</v>
      </c>
      <c r="L1500" t="s">
        <v>47</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1585</v>
      </c>
      <c r="B1501" t="s">
        <v>61</v>
      </c>
      <c r="C1501">
        <v>2</v>
      </c>
      <c r="D1501">
        <v>37.5</v>
      </c>
      <c r="E1501">
        <v>75</v>
      </c>
      <c r="F1501" s="1">
        <v>45713</v>
      </c>
      <c r="G1501" s="1">
        <v>45716</v>
      </c>
      <c r="H1501" t="s">
        <v>12</v>
      </c>
      <c r="I1501" t="s">
        <v>20</v>
      </c>
      <c r="J1501">
        <v>5</v>
      </c>
      <c r="K1501" t="s">
        <v>4</v>
      </c>
      <c r="L1501" t="s">
        <v>88</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1586</v>
      </c>
      <c r="B1502" t="s">
        <v>31</v>
      </c>
      <c r="C1502">
        <v>3</v>
      </c>
      <c r="D1502">
        <v>51.9</v>
      </c>
      <c r="E1502">
        <v>155.69999999999999</v>
      </c>
      <c r="F1502" s="1">
        <v>45713</v>
      </c>
      <c r="G1502" s="1">
        <v>45719</v>
      </c>
      <c r="H1502" t="s">
        <v>12</v>
      </c>
      <c r="I1502" t="s">
        <v>3</v>
      </c>
      <c r="J1502">
        <v>2</v>
      </c>
      <c r="K1502" t="s">
        <v>4</v>
      </c>
      <c r="L1502" t="s">
        <v>62</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1587</v>
      </c>
      <c r="B1503" t="s">
        <v>7</v>
      </c>
      <c r="C1503">
        <v>2</v>
      </c>
      <c r="D1503">
        <v>30.9</v>
      </c>
      <c r="E1503">
        <v>61.8</v>
      </c>
      <c r="F1503" s="1">
        <v>45713</v>
      </c>
      <c r="G1503" s="1">
        <v>45715</v>
      </c>
      <c r="H1503" t="s">
        <v>12</v>
      </c>
      <c r="I1503" t="s">
        <v>20</v>
      </c>
      <c r="J1503">
        <v>4</v>
      </c>
      <c r="K1503" t="s">
        <v>4</v>
      </c>
      <c r="L1503" t="s">
        <v>93</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1588</v>
      </c>
      <c r="B1504" t="s">
        <v>17</v>
      </c>
      <c r="C1504">
        <v>3</v>
      </c>
      <c r="D1504">
        <v>21.2</v>
      </c>
      <c r="E1504">
        <v>63.599999999999994</v>
      </c>
      <c r="F1504" s="1">
        <v>45713</v>
      </c>
      <c r="G1504" s="1">
        <v>45716</v>
      </c>
      <c r="H1504" t="s">
        <v>12</v>
      </c>
      <c r="I1504" t="s">
        <v>20</v>
      </c>
      <c r="J1504">
        <v>4</v>
      </c>
      <c r="K1504" t="s">
        <v>4</v>
      </c>
      <c r="L1504" t="s">
        <v>95</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1589</v>
      </c>
      <c r="B1505" t="s">
        <v>61</v>
      </c>
      <c r="C1505">
        <v>17</v>
      </c>
      <c r="D1505">
        <v>17.5</v>
      </c>
      <c r="E1505">
        <v>297.5</v>
      </c>
      <c r="F1505" s="1">
        <v>45713</v>
      </c>
      <c r="G1505" s="1">
        <v>45714</v>
      </c>
      <c r="H1505" t="s">
        <v>8</v>
      </c>
      <c r="I1505" t="s">
        <v>20</v>
      </c>
      <c r="J1505">
        <v>3</v>
      </c>
      <c r="K1505" t="s">
        <v>4</v>
      </c>
      <c r="L1505" t="s">
        <v>67</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1590</v>
      </c>
      <c r="B1506" t="s">
        <v>54</v>
      </c>
      <c r="C1506">
        <v>2</v>
      </c>
      <c r="D1506">
        <v>53.8</v>
      </c>
      <c r="E1506">
        <v>107.6</v>
      </c>
      <c r="F1506" s="1">
        <v>45713</v>
      </c>
      <c r="G1506" s="1">
        <v>45718</v>
      </c>
      <c r="H1506" t="s">
        <v>12</v>
      </c>
      <c r="I1506" t="s">
        <v>3</v>
      </c>
      <c r="J1506">
        <v>5</v>
      </c>
      <c r="K1506" t="s">
        <v>4</v>
      </c>
      <c r="L1506" t="s">
        <v>100</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1591</v>
      </c>
      <c r="B1507" t="s">
        <v>156</v>
      </c>
      <c r="C1507">
        <v>2</v>
      </c>
      <c r="D1507">
        <v>17</v>
      </c>
      <c r="E1507">
        <v>34</v>
      </c>
      <c r="F1507" s="1">
        <v>45713</v>
      </c>
      <c r="G1507" s="1">
        <v>45714</v>
      </c>
      <c r="H1507" t="s">
        <v>8</v>
      </c>
      <c r="I1507" t="s">
        <v>36</v>
      </c>
      <c r="J1507">
        <v>4</v>
      </c>
      <c r="K1507" t="s">
        <v>4</v>
      </c>
      <c r="L1507" t="s">
        <v>100</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1592</v>
      </c>
      <c r="B1508" t="s">
        <v>24</v>
      </c>
      <c r="C1508">
        <v>1</v>
      </c>
      <c r="D1508">
        <v>103.2</v>
      </c>
      <c r="E1508">
        <v>103.2</v>
      </c>
      <c r="F1508" s="1">
        <v>45713</v>
      </c>
      <c r="G1508" s="1">
        <v>45721</v>
      </c>
      <c r="H1508" t="s">
        <v>8</v>
      </c>
      <c r="I1508" t="s">
        <v>25</v>
      </c>
      <c r="J1508">
        <v>3</v>
      </c>
      <c r="K1508" t="s">
        <v>4</v>
      </c>
      <c r="L1508" t="s">
        <v>9</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1593</v>
      </c>
      <c r="B1509" t="s">
        <v>24</v>
      </c>
      <c r="C1509">
        <v>4</v>
      </c>
      <c r="D1509">
        <v>70.3</v>
      </c>
      <c r="E1509">
        <v>281.2</v>
      </c>
      <c r="F1509" s="1">
        <v>45713</v>
      </c>
      <c r="G1509" s="1">
        <v>45714</v>
      </c>
      <c r="H1509" t="s">
        <v>8</v>
      </c>
      <c r="I1509" t="s">
        <v>3</v>
      </c>
      <c r="J1509">
        <v>4</v>
      </c>
      <c r="K1509" t="s">
        <v>4</v>
      </c>
      <c r="L1509" t="s">
        <v>18</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1594</v>
      </c>
      <c r="B1510" t="s">
        <v>11</v>
      </c>
      <c r="C1510">
        <v>2</v>
      </c>
      <c r="D1510">
        <v>73.8</v>
      </c>
      <c r="E1510">
        <v>147.6</v>
      </c>
      <c r="F1510" s="1">
        <v>45713</v>
      </c>
      <c r="G1510" s="1">
        <v>45713</v>
      </c>
      <c r="H1510" t="s">
        <v>8</v>
      </c>
      <c r="I1510" t="s">
        <v>36</v>
      </c>
      <c r="J1510">
        <v>5</v>
      </c>
      <c r="K1510" t="s">
        <v>4</v>
      </c>
      <c r="L1510" t="s">
        <v>18</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1595</v>
      </c>
      <c r="B1511" t="s">
        <v>7</v>
      </c>
      <c r="C1511">
        <v>12</v>
      </c>
      <c r="D1511">
        <v>67.7</v>
      </c>
      <c r="E1511">
        <v>812.40000000000009</v>
      </c>
      <c r="F1511" s="1">
        <v>45713</v>
      </c>
      <c r="G1511" s="1">
        <v>45717</v>
      </c>
      <c r="H1511" t="s">
        <v>8</v>
      </c>
      <c r="I1511" t="s">
        <v>20</v>
      </c>
      <c r="J1511">
        <v>3</v>
      </c>
      <c r="K1511" t="s">
        <v>4</v>
      </c>
      <c r="L1511" t="s">
        <v>18</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1596</v>
      </c>
      <c r="B1512" t="s">
        <v>61</v>
      </c>
      <c r="C1512">
        <v>7</v>
      </c>
      <c r="D1512">
        <v>43.8</v>
      </c>
      <c r="E1512">
        <v>306.59999999999997</v>
      </c>
      <c r="F1512" s="1">
        <v>45713</v>
      </c>
      <c r="G1512" s="1">
        <v>45715</v>
      </c>
      <c r="H1512" t="s">
        <v>8</v>
      </c>
      <c r="I1512" t="s">
        <v>20</v>
      </c>
      <c r="J1512">
        <v>4</v>
      </c>
      <c r="K1512" t="s">
        <v>4</v>
      </c>
      <c r="L1512" t="s">
        <v>18</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1597</v>
      </c>
      <c r="B1513" t="s">
        <v>120</v>
      </c>
      <c r="C1513">
        <v>6</v>
      </c>
      <c r="D1513">
        <v>71.900000000000006</v>
      </c>
      <c r="E1513">
        <v>431.40000000000003</v>
      </c>
      <c r="F1513" s="1">
        <v>45713</v>
      </c>
      <c r="G1513" s="1">
        <v>45714</v>
      </c>
      <c r="H1513" t="s">
        <v>12</v>
      </c>
      <c r="I1513" t="s">
        <v>25</v>
      </c>
      <c r="J1513">
        <v>4</v>
      </c>
      <c r="K1513" t="s">
        <v>4</v>
      </c>
      <c r="L1513" t="s">
        <v>18</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1598</v>
      </c>
      <c r="B1514" t="s">
        <v>29</v>
      </c>
      <c r="C1514">
        <v>2</v>
      </c>
      <c r="D1514">
        <v>26.3</v>
      </c>
      <c r="E1514">
        <v>52.6</v>
      </c>
      <c r="F1514" s="1">
        <v>45714</v>
      </c>
      <c r="G1514" s="1">
        <v>45716</v>
      </c>
      <c r="H1514" t="s">
        <v>12</v>
      </c>
      <c r="I1514" t="s">
        <v>3</v>
      </c>
      <c r="J1514">
        <v>3</v>
      </c>
      <c r="K1514" t="s">
        <v>4</v>
      </c>
      <c r="L1514" t="s">
        <v>18</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1599</v>
      </c>
      <c r="B1515" t="s">
        <v>24</v>
      </c>
      <c r="C1515">
        <v>4</v>
      </c>
      <c r="D1515">
        <v>52.6</v>
      </c>
      <c r="E1515">
        <v>210.4</v>
      </c>
      <c r="F1515" s="1">
        <v>45714</v>
      </c>
      <c r="G1515" s="1">
        <v>45716</v>
      </c>
      <c r="H1515" t="s">
        <v>12</v>
      </c>
      <c r="I1515" t="s">
        <v>25</v>
      </c>
      <c r="J1515">
        <v>3</v>
      </c>
      <c r="K1515" t="s">
        <v>4</v>
      </c>
      <c r="L1515" t="s">
        <v>18</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1600</v>
      </c>
      <c r="B1516" t="s">
        <v>39</v>
      </c>
      <c r="C1516">
        <v>1</v>
      </c>
      <c r="D1516">
        <v>32.700000000000003</v>
      </c>
      <c r="E1516">
        <v>32.700000000000003</v>
      </c>
      <c r="F1516" s="1">
        <v>45714</v>
      </c>
      <c r="G1516" s="1">
        <v>45721</v>
      </c>
      <c r="H1516" t="s">
        <v>12</v>
      </c>
      <c r="I1516" t="s">
        <v>3</v>
      </c>
      <c r="J1516">
        <v>5</v>
      </c>
      <c r="K1516" t="s">
        <v>4</v>
      </c>
      <c r="L1516" t="s">
        <v>18</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1601</v>
      </c>
      <c r="B1517" t="s">
        <v>22</v>
      </c>
      <c r="C1517">
        <v>4</v>
      </c>
      <c r="D1517">
        <v>38.9</v>
      </c>
      <c r="E1517">
        <v>155.6</v>
      </c>
      <c r="F1517" s="1">
        <v>45714</v>
      </c>
      <c r="G1517" s="1">
        <v>45715</v>
      </c>
      <c r="H1517" t="s">
        <v>12</v>
      </c>
      <c r="I1517" t="s">
        <v>3</v>
      </c>
      <c r="J1517">
        <v>4</v>
      </c>
      <c r="K1517" t="s">
        <v>4</v>
      </c>
      <c r="L1517" t="s">
        <v>18</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1602</v>
      </c>
      <c r="B1518" t="s">
        <v>31</v>
      </c>
      <c r="C1518">
        <v>5</v>
      </c>
      <c r="D1518">
        <v>35</v>
      </c>
      <c r="E1518">
        <v>175</v>
      </c>
      <c r="F1518" s="1">
        <v>45714</v>
      </c>
      <c r="G1518" s="1">
        <v>45716</v>
      </c>
      <c r="H1518" t="s">
        <v>8</v>
      </c>
      <c r="I1518" t="s">
        <v>3</v>
      </c>
      <c r="J1518">
        <v>4</v>
      </c>
      <c r="K1518" t="s">
        <v>4</v>
      </c>
      <c r="L1518" t="s">
        <v>18</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1603</v>
      </c>
      <c r="B1519" t="s">
        <v>11</v>
      </c>
      <c r="C1519">
        <v>2</v>
      </c>
      <c r="D1519">
        <v>121</v>
      </c>
      <c r="E1519">
        <v>242</v>
      </c>
      <c r="F1519" s="1">
        <v>45714</v>
      </c>
      <c r="G1519" s="1">
        <v>45715</v>
      </c>
      <c r="H1519" t="s">
        <v>12</v>
      </c>
      <c r="I1519" t="s">
        <v>20</v>
      </c>
      <c r="J1519">
        <v>3</v>
      </c>
      <c r="K1519" t="s">
        <v>4</v>
      </c>
      <c r="L1519" t="s">
        <v>18</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1604</v>
      </c>
      <c r="B1520" t="s">
        <v>24</v>
      </c>
      <c r="C1520">
        <v>3</v>
      </c>
      <c r="D1520">
        <v>65.099999999999994</v>
      </c>
      <c r="E1520">
        <v>195.29999999999998</v>
      </c>
      <c r="F1520" s="1">
        <v>45714</v>
      </c>
      <c r="G1520" s="1">
        <v>45718</v>
      </c>
      <c r="H1520" t="s">
        <v>8</v>
      </c>
      <c r="I1520" t="s">
        <v>25</v>
      </c>
      <c r="J1520">
        <v>4</v>
      </c>
      <c r="K1520" t="s">
        <v>4</v>
      </c>
      <c r="L1520" t="s">
        <v>327</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1605</v>
      </c>
      <c r="B1521" t="s">
        <v>7</v>
      </c>
      <c r="C1521">
        <v>21</v>
      </c>
      <c r="D1521">
        <v>63.8</v>
      </c>
      <c r="E1521">
        <v>1339.8</v>
      </c>
      <c r="F1521" s="1">
        <v>45714</v>
      </c>
      <c r="G1521" s="1">
        <v>45716</v>
      </c>
      <c r="H1521" t="s">
        <v>12</v>
      </c>
      <c r="I1521" t="s">
        <v>3</v>
      </c>
      <c r="J1521">
        <v>4</v>
      </c>
      <c r="K1521" t="s">
        <v>4</v>
      </c>
      <c r="L1521" t="s">
        <v>47</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1606</v>
      </c>
      <c r="B1522" t="s">
        <v>27</v>
      </c>
      <c r="C1522">
        <v>1</v>
      </c>
      <c r="D1522">
        <v>77.7</v>
      </c>
      <c r="E1522">
        <v>77.7</v>
      </c>
      <c r="F1522" s="1">
        <v>45714</v>
      </c>
      <c r="G1522" s="1">
        <v>45716</v>
      </c>
      <c r="H1522" t="s">
        <v>8</v>
      </c>
      <c r="I1522" t="s">
        <v>3</v>
      </c>
      <c r="J1522">
        <v>4</v>
      </c>
      <c r="K1522" t="s">
        <v>4</v>
      </c>
      <c r="L1522" t="s">
        <v>47</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1607</v>
      </c>
      <c r="B1523" t="s">
        <v>22</v>
      </c>
      <c r="C1523">
        <v>4</v>
      </c>
      <c r="D1523">
        <v>60.3</v>
      </c>
      <c r="E1523">
        <v>241.2</v>
      </c>
      <c r="F1523" s="1">
        <v>45714</v>
      </c>
      <c r="G1523" s="1">
        <v>45714</v>
      </c>
      <c r="H1523" t="s">
        <v>8</v>
      </c>
      <c r="I1523" t="s">
        <v>3</v>
      </c>
      <c r="J1523">
        <v>5</v>
      </c>
      <c r="K1523" t="s">
        <v>4</v>
      </c>
      <c r="L1523" t="s">
        <v>47</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1608</v>
      </c>
      <c r="B1524" t="s">
        <v>22</v>
      </c>
      <c r="C1524">
        <v>2</v>
      </c>
      <c r="D1524">
        <v>124.1</v>
      </c>
      <c r="E1524">
        <v>248.2</v>
      </c>
      <c r="F1524" s="1">
        <v>45714</v>
      </c>
      <c r="G1524" s="1">
        <v>45717</v>
      </c>
      <c r="H1524" t="s">
        <v>12</v>
      </c>
      <c r="I1524" t="s">
        <v>3</v>
      </c>
      <c r="J1524">
        <v>5</v>
      </c>
      <c r="K1524" t="s">
        <v>4</v>
      </c>
      <c r="L1524" t="s">
        <v>47</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1609</v>
      </c>
      <c r="B1525" t="s">
        <v>113</v>
      </c>
      <c r="C1525">
        <v>7</v>
      </c>
      <c r="D1525">
        <v>66</v>
      </c>
      <c r="E1525">
        <v>462</v>
      </c>
      <c r="F1525" s="1">
        <v>45714</v>
      </c>
      <c r="G1525" s="1">
        <v>45714</v>
      </c>
      <c r="H1525" t="s">
        <v>2</v>
      </c>
      <c r="I1525" t="s">
        <v>36</v>
      </c>
      <c r="J1525">
        <v>4</v>
      </c>
      <c r="K1525" t="s">
        <v>4</v>
      </c>
      <c r="L1525" t="s">
        <v>88</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1610</v>
      </c>
      <c r="B1526" t="s">
        <v>11</v>
      </c>
      <c r="C1526">
        <v>63</v>
      </c>
      <c r="D1526">
        <v>118.2</v>
      </c>
      <c r="E1526">
        <v>7446.6</v>
      </c>
      <c r="F1526" s="1">
        <v>45714</v>
      </c>
      <c r="G1526" s="1">
        <v>45719</v>
      </c>
      <c r="H1526" t="s">
        <v>2</v>
      </c>
      <c r="I1526" t="s">
        <v>3</v>
      </c>
      <c r="J1526">
        <v>4</v>
      </c>
      <c r="K1526" t="s">
        <v>4</v>
      </c>
      <c r="L1526" t="s">
        <v>88</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1611</v>
      </c>
      <c r="B1527" t="s">
        <v>22</v>
      </c>
      <c r="C1527">
        <v>5</v>
      </c>
      <c r="D1527">
        <v>64.3</v>
      </c>
      <c r="E1527">
        <v>321.5</v>
      </c>
      <c r="F1527" s="1">
        <v>45714</v>
      </c>
      <c r="G1527" s="1">
        <v>45715</v>
      </c>
      <c r="H1527" t="s">
        <v>8</v>
      </c>
      <c r="I1527" t="s">
        <v>55</v>
      </c>
      <c r="J1527">
        <v>2</v>
      </c>
      <c r="K1527" t="s">
        <v>4</v>
      </c>
      <c r="L1527" t="s">
        <v>186</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1612</v>
      </c>
      <c r="B1528" t="s">
        <v>7</v>
      </c>
      <c r="C1528">
        <v>2</v>
      </c>
      <c r="D1528">
        <v>54.8</v>
      </c>
      <c r="E1528">
        <v>109.6</v>
      </c>
      <c r="F1528" s="1">
        <v>45714</v>
      </c>
      <c r="G1528" s="1">
        <v>45714</v>
      </c>
      <c r="H1528" t="s">
        <v>8</v>
      </c>
      <c r="I1528" t="s">
        <v>3</v>
      </c>
      <c r="J1528">
        <v>3</v>
      </c>
      <c r="K1528" t="s">
        <v>4</v>
      </c>
      <c r="L1528" t="s">
        <v>186</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1613</v>
      </c>
      <c r="B1529" t="s">
        <v>27</v>
      </c>
      <c r="C1529">
        <v>2</v>
      </c>
      <c r="D1529">
        <v>78.599999999999994</v>
      </c>
      <c r="E1529">
        <v>157.19999999999999</v>
      </c>
      <c r="F1529" s="1">
        <v>45714</v>
      </c>
      <c r="G1529" s="1">
        <v>45715</v>
      </c>
      <c r="H1529" t="s">
        <v>8</v>
      </c>
      <c r="I1529" t="s">
        <v>3</v>
      </c>
      <c r="J1529">
        <v>5</v>
      </c>
      <c r="K1529" t="s">
        <v>4</v>
      </c>
      <c r="L1529" t="s">
        <v>57</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1614</v>
      </c>
      <c r="B1530" t="s">
        <v>11</v>
      </c>
      <c r="C1530">
        <v>5</v>
      </c>
      <c r="D1530">
        <v>158.5</v>
      </c>
      <c r="E1530">
        <v>792.5</v>
      </c>
      <c r="F1530" s="1">
        <v>45714</v>
      </c>
      <c r="G1530" s="1">
        <v>45716</v>
      </c>
      <c r="H1530" t="s">
        <v>2</v>
      </c>
      <c r="I1530" t="s">
        <v>25</v>
      </c>
      <c r="J1530">
        <v>5</v>
      </c>
      <c r="K1530" t="s">
        <v>4</v>
      </c>
      <c r="L1530" t="s">
        <v>57</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1615</v>
      </c>
      <c r="B1531" t="s">
        <v>17</v>
      </c>
      <c r="C1531">
        <v>10</v>
      </c>
      <c r="D1531">
        <v>23.5</v>
      </c>
      <c r="E1531">
        <v>235</v>
      </c>
      <c r="F1531" s="1">
        <v>45714</v>
      </c>
      <c r="G1531" s="1">
        <v>45717</v>
      </c>
      <c r="H1531" t="s">
        <v>8</v>
      </c>
      <c r="I1531" t="s">
        <v>3</v>
      </c>
      <c r="J1531">
        <v>2</v>
      </c>
      <c r="K1531" t="s">
        <v>4</v>
      </c>
      <c r="L1531" t="s">
        <v>59</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1616</v>
      </c>
      <c r="B1532" t="s">
        <v>22</v>
      </c>
      <c r="C1532">
        <v>2</v>
      </c>
      <c r="D1532">
        <v>32.1</v>
      </c>
      <c r="E1532">
        <v>64.2</v>
      </c>
      <c r="F1532" s="1">
        <v>45714</v>
      </c>
      <c r="G1532" s="1">
        <v>45716</v>
      </c>
      <c r="H1532" t="s">
        <v>2</v>
      </c>
      <c r="I1532" t="s">
        <v>36</v>
      </c>
      <c r="J1532">
        <v>4</v>
      </c>
      <c r="K1532" t="s">
        <v>4</v>
      </c>
      <c r="L1532" t="s">
        <v>59</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1617</v>
      </c>
      <c r="B1533" t="s">
        <v>120</v>
      </c>
      <c r="C1533">
        <v>4</v>
      </c>
      <c r="D1533">
        <v>71.900000000000006</v>
      </c>
      <c r="E1533">
        <v>287.60000000000002</v>
      </c>
      <c r="F1533" s="1">
        <v>45714</v>
      </c>
      <c r="G1533" s="1">
        <v>45714</v>
      </c>
      <c r="H1533" t="s">
        <v>8</v>
      </c>
      <c r="I1533" t="s">
        <v>25</v>
      </c>
      <c r="J1533">
        <v>4</v>
      </c>
      <c r="K1533" t="s">
        <v>4</v>
      </c>
      <c r="L1533" t="s">
        <v>95</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1618</v>
      </c>
      <c r="B1534" t="s">
        <v>17</v>
      </c>
      <c r="C1534">
        <v>6</v>
      </c>
      <c r="D1534">
        <v>22.3</v>
      </c>
      <c r="E1534">
        <v>133.80000000000001</v>
      </c>
      <c r="F1534" s="1">
        <v>45714</v>
      </c>
      <c r="G1534" s="1">
        <v>45715</v>
      </c>
      <c r="H1534" t="s">
        <v>2</v>
      </c>
      <c r="I1534" t="s">
        <v>36</v>
      </c>
      <c r="J1534">
        <v>5</v>
      </c>
      <c r="K1534" t="s">
        <v>4</v>
      </c>
      <c r="L1534" t="s">
        <v>67</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1619</v>
      </c>
      <c r="B1535" t="s">
        <v>52</v>
      </c>
      <c r="C1535">
        <v>2</v>
      </c>
      <c r="D1535">
        <v>29.5</v>
      </c>
      <c r="E1535">
        <v>59</v>
      </c>
      <c r="F1535" s="1">
        <v>45714</v>
      </c>
      <c r="G1535" s="1">
        <v>45715</v>
      </c>
      <c r="H1535" t="s">
        <v>12</v>
      </c>
      <c r="I1535" t="s">
        <v>3</v>
      </c>
      <c r="J1535">
        <v>5</v>
      </c>
      <c r="K1535" t="s">
        <v>4</v>
      </c>
      <c r="L1535" t="s">
        <v>67</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1620</v>
      </c>
      <c r="B1536" t="s">
        <v>24</v>
      </c>
      <c r="C1536">
        <v>4</v>
      </c>
      <c r="D1536">
        <v>41.9</v>
      </c>
      <c r="E1536">
        <v>167.6</v>
      </c>
      <c r="F1536" s="1">
        <v>45714</v>
      </c>
      <c r="G1536" s="1">
        <v>45718</v>
      </c>
      <c r="H1536" t="s">
        <v>12</v>
      </c>
      <c r="I1536" t="s">
        <v>3</v>
      </c>
      <c r="J1536">
        <v>3</v>
      </c>
      <c r="K1536" t="s">
        <v>4</v>
      </c>
      <c r="L1536" t="s">
        <v>100</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1621</v>
      </c>
      <c r="B1537" t="s">
        <v>24</v>
      </c>
      <c r="C1537">
        <v>3</v>
      </c>
      <c r="D1537">
        <v>107.8</v>
      </c>
      <c r="E1537">
        <v>323.39999999999998</v>
      </c>
      <c r="F1537" s="1">
        <v>45714</v>
      </c>
      <c r="G1537" s="1">
        <v>45715</v>
      </c>
      <c r="H1537" t="s">
        <v>8</v>
      </c>
      <c r="I1537" t="s">
        <v>20</v>
      </c>
      <c r="J1537">
        <v>5</v>
      </c>
      <c r="K1537" t="s">
        <v>4</v>
      </c>
      <c r="L1537" t="s">
        <v>626</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1622</v>
      </c>
      <c r="B1538" t="s">
        <v>17</v>
      </c>
      <c r="C1538">
        <v>5</v>
      </c>
      <c r="D1538">
        <v>18.100000000000001</v>
      </c>
      <c r="E1538">
        <v>90.5</v>
      </c>
      <c r="F1538" s="1">
        <v>45714</v>
      </c>
      <c r="G1538" s="1">
        <v>45717</v>
      </c>
      <c r="H1538" t="s">
        <v>8</v>
      </c>
      <c r="I1538" t="s">
        <v>3</v>
      </c>
      <c r="J1538">
        <v>5</v>
      </c>
      <c r="K1538" t="s">
        <v>4</v>
      </c>
      <c r="L1538" t="s">
        <v>13</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1623</v>
      </c>
      <c r="B1539" t="s">
        <v>54</v>
      </c>
      <c r="C1539">
        <v>9</v>
      </c>
      <c r="D1539">
        <v>79.8</v>
      </c>
      <c r="E1539">
        <v>718.19999999999993</v>
      </c>
      <c r="F1539" s="1">
        <v>45714</v>
      </c>
      <c r="G1539" s="1">
        <v>45715</v>
      </c>
      <c r="H1539" t="s">
        <v>12</v>
      </c>
      <c r="I1539" t="s">
        <v>20</v>
      </c>
      <c r="J1539">
        <v>3</v>
      </c>
      <c r="K1539" t="s">
        <v>4</v>
      </c>
      <c r="L1539" t="s">
        <v>132</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1624</v>
      </c>
      <c r="B1540" t="s">
        <v>1</v>
      </c>
      <c r="C1540">
        <v>3</v>
      </c>
      <c r="D1540">
        <v>22.3</v>
      </c>
      <c r="E1540">
        <v>66.900000000000006</v>
      </c>
      <c r="F1540" s="1">
        <v>45714</v>
      </c>
      <c r="G1540" s="1">
        <v>45717</v>
      </c>
      <c r="H1540" t="s">
        <v>12</v>
      </c>
      <c r="I1540" t="s">
        <v>3</v>
      </c>
      <c r="J1540">
        <v>5</v>
      </c>
      <c r="K1540" t="s">
        <v>4</v>
      </c>
      <c r="L1540" t="s">
        <v>132</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1625</v>
      </c>
      <c r="B1541" t="s">
        <v>29</v>
      </c>
      <c r="C1541">
        <v>1</v>
      </c>
      <c r="D1541">
        <v>22.9</v>
      </c>
      <c r="E1541">
        <v>22.9</v>
      </c>
      <c r="F1541" s="1">
        <v>45714</v>
      </c>
      <c r="G1541" s="1">
        <v>45714</v>
      </c>
      <c r="H1541" t="s">
        <v>12</v>
      </c>
      <c r="I1541" t="s">
        <v>20</v>
      </c>
      <c r="J1541">
        <v>4</v>
      </c>
      <c r="K1541" t="s">
        <v>4</v>
      </c>
      <c r="L1541" t="s">
        <v>132</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1626</v>
      </c>
      <c r="B1542" t="s">
        <v>1</v>
      </c>
      <c r="C1542">
        <v>3</v>
      </c>
      <c r="D1542">
        <v>16.2</v>
      </c>
      <c r="E1542">
        <v>48.599999999999994</v>
      </c>
      <c r="F1542" s="1">
        <v>45715</v>
      </c>
      <c r="G1542" s="1">
        <v>45715</v>
      </c>
      <c r="H1542" t="s">
        <v>8</v>
      </c>
      <c r="I1542" t="s">
        <v>55</v>
      </c>
      <c r="J1542">
        <v>5</v>
      </c>
      <c r="K1542" t="s">
        <v>4</v>
      </c>
      <c r="L1542" t="s">
        <v>18</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1627</v>
      </c>
      <c r="B1543" t="s">
        <v>39</v>
      </c>
      <c r="C1543">
        <v>4</v>
      </c>
      <c r="D1543">
        <v>59.5</v>
      </c>
      <c r="E1543">
        <v>238</v>
      </c>
      <c r="F1543" s="1">
        <v>45715</v>
      </c>
      <c r="G1543" s="1">
        <v>45716</v>
      </c>
      <c r="H1543" t="s">
        <v>8</v>
      </c>
      <c r="I1543" t="s">
        <v>20</v>
      </c>
      <c r="J1543">
        <v>5</v>
      </c>
      <c r="K1543" t="s">
        <v>4</v>
      </c>
      <c r="L1543" t="s">
        <v>18</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1628</v>
      </c>
      <c r="B1544" t="s">
        <v>131</v>
      </c>
      <c r="C1544">
        <v>5</v>
      </c>
      <c r="D1544">
        <v>26.2</v>
      </c>
      <c r="E1544">
        <v>131</v>
      </c>
      <c r="F1544" s="1">
        <v>45715</v>
      </c>
      <c r="G1544" s="1">
        <v>45718</v>
      </c>
      <c r="H1544" t="s">
        <v>8</v>
      </c>
      <c r="I1544" t="s">
        <v>36</v>
      </c>
      <c r="J1544">
        <v>2</v>
      </c>
      <c r="K1544" t="s">
        <v>4</v>
      </c>
      <c r="L1544" t="s">
        <v>18</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1629</v>
      </c>
      <c r="B1545" t="s">
        <v>15</v>
      </c>
      <c r="C1545">
        <v>1</v>
      </c>
      <c r="D1545">
        <v>44.2</v>
      </c>
      <c r="E1545">
        <v>44.2</v>
      </c>
      <c r="F1545" s="1">
        <v>45715</v>
      </c>
      <c r="G1545" s="1">
        <v>45718</v>
      </c>
      <c r="H1545" t="s">
        <v>12</v>
      </c>
      <c r="I1545" t="s">
        <v>20</v>
      </c>
      <c r="J1545">
        <v>4</v>
      </c>
      <c r="K1545" t="s">
        <v>4</v>
      </c>
      <c r="L1545" t="s">
        <v>18</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1630</v>
      </c>
      <c r="B1546" t="s">
        <v>31</v>
      </c>
      <c r="C1546">
        <v>2</v>
      </c>
      <c r="D1546">
        <v>59.2</v>
      </c>
      <c r="E1546">
        <v>118.4</v>
      </c>
      <c r="F1546" s="1">
        <v>45715</v>
      </c>
      <c r="G1546" s="1">
        <v>45715</v>
      </c>
      <c r="H1546" t="s">
        <v>12</v>
      </c>
      <c r="I1546" t="s">
        <v>20</v>
      </c>
      <c r="J1546">
        <v>2</v>
      </c>
      <c r="K1546" t="s">
        <v>4</v>
      </c>
      <c r="L1546" t="s">
        <v>18</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1631</v>
      </c>
      <c r="B1547" t="s">
        <v>108</v>
      </c>
      <c r="C1547">
        <v>4</v>
      </c>
      <c r="D1547">
        <v>41.5</v>
      </c>
      <c r="E1547">
        <v>166</v>
      </c>
      <c r="F1547" s="1">
        <v>45715</v>
      </c>
      <c r="G1547" s="1">
        <v>45717</v>
      </c>
      <c r="H1547" t="s">
        <v>12</v>
      </c>
      <c r="I1547" t="s">
        <v>3</v>
      </c>
      <c r="J1547">
        <v>4</v>
      </c>
      <c r="K1547" t="s">
        <v>4</v>
      </c>
      <c r="L1547" t="s">
        <v>83</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1632</v>
      </c>
      <c r="B1548" t="s">
        <v>24</v>
      </c>
      <c r="C1548">
        <v>12</v>
      </c>
      <c r="D1548">
        <v>67.099999999999994</v>
      </c>
      <c r="E1548">
        <v>805.19999999999993</v>
      </c>
      <c r="F1548" s="1">
        <v>45715</v>
      </c>
      <c r="G1548" s="1">
        <v>45729</v>
      </c>
      <c r="H1548" t="s">
        <v>12</v>
      </c>
      <c r="I1548" t="s">
        <v>3</v>
      </c>
      <c r="J1548">
        <v>5</v>
      </c>
      <c r="K1548" t="s">
        <v>4</v>
      </c>
      <c r="L1548" t="s">
        <v>143</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1633</v>
      </c>
      <c r="B1549" t="s">
        <v>29</v>
      </c>
      <c r="C1549">
        <v>2</v>
      </c>
      <c r="D1549">
        <v>28.7</v>
      </c>
      <c r="E1549">
        <v>57.4</v>
      </c>
      <c r="F1549" s="1">
        <v>45715</v>
      </c>
      <c r="G1549" s="1">
        <v>45719</v>
      </c>
      <c r="H1549" t="s">
        <v>12</v>
      </c>
      <c r="I1549" t="s">
        <v>20</v>
      </c>
      <c r="J1549">
        <v>4</v>
      </c>
      <c r="K1549" t="s">
        <v>4</v>
      </c>
      <c r="L1549" t="s">
        <v>40</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1634</v>
      </c>
      <c r="B1550" t="s">
        <v>11</v>
      </c>
      <c r="C1550">
        <v>4</v>
      </c>
      <c r="D1550">
        <v>132.1</v>
      </c>
      <c r="E1550">
        <v>528.4</v>
      </c>
      <c r="F1550" s="1">
        <v>45715</v>
      </c>
      <c r="G1550" s="1">
        <v>45716</v>
      </c>
      <c r="H1550" t="s">
        <v>12</v>
      </c>
      <c r="I1550" t="s">
        <v>3</v>
      </c>
      <c r="J1550">
        <v>3</v>
      </c>
      <c r="K1550" t="s">
        <v>4</v>
      </c>
      <c r="L1550" t="s">
        <v>40</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1635</v>
      </c>
      <c r="B1551" t="s">
        <v>131</v>
      </c>
      <c r="C1551">
        <v>2</v>
      </c>
      <c r="D1551">
        <v>47</v>
      </c>
      <c r="E1551">
        <v>94</v>
      </c>
      <c r="F1551" s="1">
        <v>45715</v>
      </c>
      <c r="G1551" s="1">
        <v>45717</v>
      </c>
      <c r="H1551" t="s">
        <v>8</v>
      </c>
      <c r="I1551" t="s">
        <v>55</v>
      </c>
      <c r="J1551">
        <v>4</v>
      </c>
      <c r="K1551" t="s">
        <v>4</v>
      </c>
      <c r="L1551" t="s">
        <v>47</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1636</v>
      </c>
      <c r="B1552" t="s">
        <v>29</v>
      </c>
      <c r="C1552">
        <v>2</v>
      </c>
      <c r="D1552">
        <v>41.6</v>
      </c>
      <c r="E1552">
        <v>83.2</v>
      </c>
      <c r="F1552" s="1">
        <v>45715</v>
      </c>
      <c r="G1552" s="1">
        <v>45719</v>
      </c>
      <c r="H1552" t="s">
        <v>8</v>
      </c>
      <c r="I1552" t="s">
        <v>20</v>
      </c>
      <c r="J1552">
        <v>5</v>
      </c>
      <c r="K1552" t="s">
        <v>4</v>
      </c>
      <c r="L1552" t="s">
        <v>47</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1637</v>
      </c>
      <c r="B1553" t="s">
        <v>29</v>
      </c>
      <c r="C1553">
        <v>38</v>
      </c>
      <c r="D1553">
        <v>17.3</v>
      </c>
      <c r="E1553">
        <v>657.4</v>
      </c>
      <c r="F1553" s="1">
        <v>45715</v>
      </c>
      <c r="G1553" s="1">
        <v>45717</v>
      </c>
      <c r="H1553" t="s">
        <v>8</v>
      </c>
      <c r="I1553" t="s">
        <v>25</v>
      </c>
      <c r="J1553">
        <v>5</v>
      </c>
      <c r="K1553" t="s">
        <v>4</v>
      </c>
      <c r="L1553" t="s">
        <v>47</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1638</v>
      </c>
      <c r="B1554" t="s">
        <v>61</v>
      </c>
      <c r="C1554">
        <v>3</v>
      </c>
      <c r="D1554">
        <v>41.8</v>
      </c>
      <c r="E1554">
        <v>125.39999999999999</v>
      </c>
      <c r="F1554" s="1">
        <v>45715</v>
      </c>
      <c r="G1554" s="1">
        <v>45718</v>
      </c>
      <c r="H1554" t="s">
        <v>8</v>
      </c>
      <c r="I1554" t="s">
        <v>3</v>
      </c>
      <c r="J1554">
        <v>5</v>
      </c>
      <c r="K1554" t="s">
        <v>4</v>
      </c>
      <c r="L1554" t="s">
        <v>47</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1639</v>
      </c>
      <c r="B1555" t="s">
        <v>39</v>
      </c>
      <c r="C1555">
        <v>1</v>
      </c>
      <c r="D1555">
        <v>24</v>
      </c>
      <c r="E1555">
        <v>24</v>
      </c>
      <c r="F1555" s="1">
        <v>45715</v>
      </c>
      <c r="G1555" s="1">
        <v>45716</v>
      </c>
      <c r="H1555" t="s">
        <v>12</v>
      </c>
      <c r="I1555" t="s">
        <v>3</v>
      </c>
      <c r="J1555">
        <v>4</v>
      </c>
      <c r="K1555" t="s">
        <v>4</v>
      </c>
      <c r="L1555" t="s">
        <v>88</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1640</v>
      </c>
      <c r="B1556" t="s">
        <v>66</v>
      </c>
      <c r="C1556">
        <v>9</v>
      </c>
      <c r="D1556">
        <v>18.5</v>
      </c>
      <c r="E1556">
        <v>166.5</v>
      </c>
      <c r="F1556" s="1">
        <v>45715</v>
      </c>
      <c r="G1556" s="1">
        <v>45717</v>
      </c>
      <c r="H1556" t="s">
        <v>12</v>
      </c>
      <c r="I1556" t="s">
        <v>3</v>
      </c>
      <c r="J1556">
        <v>4</v>
      </c>
      <c r="K1556" t="s">
        <v>4</v>
      </c>
      <c r="L1556" t="s">
        <v>57</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1641</v>
      </c>
      <c r="B1557" t="s">
        <v>15</v>
      </c>
      <c r="C1557">
        <v>12</v>
      </c>
      <c r="D1557">
        <v>66.7</v>
      </c>
      <c r="E1557">
        <v>800.40000000000009</v>
      </c>
      <c r="F1557" s="1">
        <v>45715</v>
      </c>
      <c r="G1557" s="1">
        <v>45718</v>
      </c>
      <c r="H1557" t="s">
        <v>2</v>
      </c>
      <c r="I1557" t="s">
        <v>3</v>
      </c>
      <c r="J1557">
        <v>5</v>
      </c>
      <c r="K1557" t="s">
        <v>4</v>
      </c>
      <c r="L1557" t="s">
        <v>62</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1642</v>
      </c>
      <c r="B1558" t="s">
        <v>7</v>
      </c>
      <c r="C1558">
        <v>4</v>
      </c>
      <c r="D1558">
        <v>33.1</v>
      </c>
      <c r="E1558">
        <v>132.4</v>
      </c>
      <c r="F1558" s="1">
        <v>45715</v>
      </c>
      <c r="G1558" s="1">
        <v>45720</v>
      </c>
      <c r="H1558" t="s">
        <v>8</v>
      </c>
      <c r="I1558" t="s">
        <v>36</v>
      </c>
      <c r="J1558">
        <v>4</v>
      </c>
      <c r="K1558" t="s">
        <v>4</v>
      </c>
      <c r="L1558" t="s">
        <v>62</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1643</v>
      </c>
      <c r="B1559" t="s">
        <v>156</v>
      </c>
      <c r="C1559">
        <v>9</v>
      </c>
      <c r="D1559">
        <v>42.1</v>
      </c>
      <c r="E1559">
        <v>378.90000000000003</v>
      </c>
      <c r="F1559" s="1">
        <v>45715</v>
      </c>
      <c r="G1559" s="1">
        <v>45726</v>
      </c>
      <c r="H1559" t="s">
        <v>8</v>
      </c>
      <c r="I1559" t="s">
        <v>20</v>
      </c>
      <c r="J1559">
        <v>4</v>
      </c>
      <c r="K1559" t="s">
        <v>4</v>
      </c>
      <c r="L1559" t="s">
        <v>93</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1644</v>
      </c>
      <c r="B1560" t="s">
        <v>131</v>
      </c>
      <c r="C1560">
        <v>7</v>
      </c>
      <c r="D1560">
        <v>58.7</v>
      </c>
      <c r="E1560">
        <v>410.90000000000003</v>
      </c>
      <c r="F1560" s="1">
        <v>45715</v>
      </c>
      <c r="G1560" s="1">
        <v>45715</v>
      </c>
      <c r="H1560" t="s">
        <v>74</v>
      </c>
      <c r="I1560" t="s">
        <v>36</v>
      </c>
      <c r="J1560">
        <v>4</v>
      </c>
      <c r="K1560" t="s">
        <v>4</v>
      </c>
      <c r="L1560" t="s">
        <v>277</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1645</v>
      </c>
      <c r="B1561" t="s">
        <v>24</v>
      </c>
      <c r="C1561">
        <v>4</v>
      </c>
      <c r="D1561">
        <v>54</v>
      </c>
      <c r="E1561">
        <v>216</v>
      </c>
      <c r="F1561" s="1">
        <v>45715</v>
      </c>
      <c r="G1561" s="1">
        <v>45717</v>
      </c>
      <c r="H1561" t="s">
        <v>12</v>
      </c>
      <c r="I1561" t="s">
        <v>20</v>
      </c>
      <c r="J1561">
        <v>4</v>
      </c>
      <c r="K1561" t="s">
        <v>4</v>
      </c>
      <c r="L1561" t="s">
        <v>9</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1646</v>
      </c>
      <c r="B1562" t="s">
        <v>29</v>
      </c>
      <c r="C1562">
        <v>1</v>
      </c>
      <c r="D1562">
        <v>52.1</v>
      </c>
      <c r="E1562">
        <v>52.1</v>
      </c>
      <c r="F1562" s="1">
        <v>45715</v>
      </c>
      <c r="G1562" s="1">
        <v>45716</v>
      </c>
      <c r="H1562" t="s">
        <v>12</v>
      </c>
      <c r="I1562" t="s">
        <v>25</v>
      </c>
      <c r="J1562">
        <v>5</v>
      </c>
      <c r="K1562" t="s">
        <v>4</v>
      </c>
      <c r="L1562" t="s">
        <v>13</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1647</v>
      </c>
      <c r="B1563" t="s">
        <v>156</v>
      </c>
      <c r="C1563">
        <v>2</v>
      </c>
      <c r="D1563">
        <v>27</v>
      </c>
      <c r="E1563">
        <v>54</v>
      </c>
      <c r="F1563" s="1">
        <v>45715</v>
      </c>
      <c r="G1563" s="1">
        <v>45718</v>
      </c>
      <c r="H1563" t="s">
        <v>74</v>
      </c>
      <c r="I1563" t="s">
        <v>25</v>
      </c>
      <c r="J1563">
        <v>4</v>
      </c>
      <c r="K1563" t="s">
        <v>4</v>
      </c>
      <c r="L1563" t="s">
        <v>132</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1648</v>
      </c>
      <c r="B1564" t="s">
        <v>54</v>
      </c>
      <c r="C1564">
        <v>10</v>
      </c>
      <c r="D1564">
        <v>31</v>
      </c>
      <c r="E1564">
        <v>310</v>
      </c>
      <c r="F1564" s="1">
        <v>45716</v>
      </c>
      <c r="G1564" s="1">
        <v>45717</v>
      </c>
      <c r="H1564" t="s">
        <v>12</v>
      </c>
      <c r="I1564" t="s">
        <v>36</v>
      </c>
      <c r="J1564">
        <v>5</v>
      </c>
      <c r="K1564" t="s">
        <v>4</v>
      </c>
      <c r="L1564" t="s">
        <v>132</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1649</v>
      </c>
      <c r="B1565" t="s">
        <v>39</v>
      </c>
      <c r="C1565">
        <v>2</v>
      </c>
      <c r="D1565">
        <v>46.7</v>
      </c>
      <c r="E1565">
        <v>93.4</v>
      </c>
      <c r="F1565" s="1">
        <v>45716</v>
      </c>
      <c r="G1565" s="1">
        <v>45716</v>
      </c>
      <c r="H1565" t="s">
        <v>12</v>
      </c>
      <c r="I1565" t="s">
        <v>3</v>
      </c>
      <c r="J1565">
        <v>4</v>
      </c>
      <c r="K1565" t="s">
        <v>4</v>
      </c>
      <c r="L1565" t="s">
        <v>319</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1650</v>
      </c>
      <c r="B1566" t="s">
        <v>24</v>
      </c>
      <c r="C1566">
        <v>1</v>
      </c>
      <c r="D1566">
        <v>144.69999999999999</v>
      </c>
      <c r="E1566">
        <v>144.69999999999999</v>
      </c>
      <c r="F1566" s="1">
        <v>45716</v>
      </c>
      <c r="G1566" s="1">
        <v>45719</v>
      </c>
      <c r="H1566" t="s">
        <v>8</v>
      </c>
      <c r="I1566" t="s">
        <v>3</v>
      </c>
      <c r="J1566">
        <v>5</v>
      </c>
      <c r="K1566" t="s">
        <v>4</v>
      </c>
      <c r="L1566" t="s">
        <v>18</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1651</v>
      </c>
      <c r="B1567" t="s">
        <v>11</v>
      </c>
      <c r="C1567">
        <v>9</v>
      </c>
      <c r="D1567">
        <v>90.9</v>
      </c>
      <c r="E1567">
        <v>818.1</v>
      </c>
      <c r="F1567" s="1">
        <v>45716</v>
      </c>
      <c r="G1567" s="1">
        <v>45717</v>
      </c>
      <c r="H1567" t="s">
        <v>8</v>
      </c>
      <c r="I1567" t="s">
        <v>3</v>
      </c>
      <c r="J1567">
        <v>5</v>
      </c>
      <c r="K1567" t="s">
        <v>4</v>
      </c>
      <c r="L1567" t="s">
        <v>18</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1652</v>
      </c>
      <c r="B1568" t="s">
        <v>7</v>
      </c>
      <c r="C1568">
        <v>2</v>
      </c>
      <c r="D1568">
        <v>75.8</v>
      </c>
      <c r="E1568">
        <v>151.6</v>
      </c>
      <c r="F1568" s="1">
        <v>45716</v>
      </c>
      <c r="G1568" s="1">
        <v>45717</v>
      </c>
      <c r="H1568" t="s">
        <v>12</v>
      </c>
      <c r="I1568" t="s">
        <v>25</v>
      </c>
      <c r="J1568">
        <v>3</v>
      </c>
      <c r="K1568" t="s">
        <v>4</v>
      </c>
      <c r="L1568" t="s">
        <v>18</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1653</v>
      </c>
      <c r="B1569" t="s">
        <v>27</v>
      </c>
      <c r="C1569">
        <v>5</v>
      </c>
      <c r="D1569">
        <v>57.9</v>
      </c>
      <c r="E1569">
        <v>289.5</v>
      </c>
      <c r="F1569" s="1">
        <v>45716</v>
      </c>
      <c r="G1569" s="1">
        <v>45718</v>
      </c>
      <c r="H1569" t="s">
        <v>8</v>
      </c>
      <c r="I1569" t="s">
        <v>25</v>
      </c>
      <c r="J1569">
        <v>5</v>
      </c>
      <c r="K1569" t="s">
        <v>4</v>
      </c>
      <c r="L1569" t="s">
        <v>18</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1654</v>
      </c>
      <c r="B1570" t="s">
        <v>29</v>
      </c>
      <c r="C1570">
        <v>5</v>
      </c>
      <c r="D1570">
        <v>44.8</v>
      </c>
      <c r="E1570">
        <v>224</v>
      </c>
      <c r="F1570" s="1">
        <v>45716</v>
      </c>
      <c r="G1570" s="1">
        <v>45717</v>
      </c>
      <c r="H1570" t="s">
        <v>12</v>
      </c>
      <c r="I1570" t="s">
        <v>36</v>
      </c>
      <c r="J1570">
        <v>5</v>
      </c>
      <c r="K1570" t="s">
        <v>4</v>
      </c>
      <c r="L1570" t="s">
        <v>18</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1655</v>
      </c>
      <c r="B1571" t="s">
        <v>31</v>
      </c>
      <c r="C1571">
        <v>3</v>
      </c>
      <c r="D1571">
        <v>44.2</v>
      </c>
      <c r="E1571">
        <v>132.60000000000002</v>
      </c>
      <c r="F1571" s="1">
        <v>45716</v>
      </c>
      <c r="G1571" s="1">
        <v>45720</v>
      </c>
      <c r="H1571" t="s">
        <v>8</v>
      </c>
      <c r="I1571" t="s">
        <v>25</v>
      </c>
      <c r="J1571">
        <v>5</v>
      </c>
      <c r="K1571" t="s">
        <v>4</v>
      </c>
      <c r="L1571" t="s">
        <v>18</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1656</v>
      </c>
      <c r="B1572" t="s">
        <v>22</v>
      </c>
      <c r="C1572">
        <v>5</v>
      </c>
      <c r="D1572">
        <v>53.5</v>
      </c>
      <c r="E1572">
        <v>267.5</v>
      </c>
      <c r="F1572" s="1">
        <v>45716</v>
      </c>
      <c r="G1572" s="1">
        <v>45718</v>
      </c>
      <c r="H1572" t="s">
        <v>8</v>
      </c>
      <c r="I1572" t="s">
        <v>3</v>
      </c>
      <c r="J1572">
        <v>4</v>
      </c>
      <c r="K1572" t="s">
        <v>4</v>
      </c>
      <c r="L1572" t="s">
        <v>349</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1657</v>
      </c>
      <c r="B1573" t="s">
        <v>24</v>
      </c>
      <c r="C1573">
        <v>2</v>
      </c>
      <c r="D1573">
        <v>72.2</v>
      </c>
      <c r="E1573">
        <v>144.4</v>
      </c>
      <c r="F1573" s="1">
        <v>45716</v>
      </c>
      <c r="G1573" s="1">
        <v>45717</v>
      </c>
      <c r="H1573" t="s">
        <v>8</v>
      </c>
      <c r="I1573" t="s">
        <v>3</v>
      </c>
      <c r="J1573">
        <v>5</v>
      </c>
      <c r="K1573" t="s">
        <v>4</v>
      </c>
      <c r="L1573" t="s">
        <v>173</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1658</v>
      </c>
      <c r="B1574" t="s">
        <v>24</v>
      </c>
      <c r="C1574">
        <v>4</v>
      </c>
      <c r="D1574">
        <v>62.4</v>
      </c>
      <c r="E1574">
        <v>249.6</v>
      </c>
      <c r="F1574" s="1">
        <v>45716</v>
      </c>
      <c r="G1574" s="1">
        <v>45719</v>
      </c>
      <c r="H1574" t="s">
        <v>12</v>
      </c>
      <c r="I1574" t="s">
        <v>3</v>
      </c>
      <c r="J1574">
        <v>3</v>
      </c>
      <c r="K1574" t="s">
        <v>4</v>
      </c>
      <c r="L1574" t="s">
        <v>143</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1659</v>
      </c>
      <c r="B1575" t="s">
        <v>39</v>
      </c>
      <c r="C1575">
        <v>5</v>
      </c>
      <c r="D1575">
        <v>24.7</v>
      </c>
      <c r="E1575">
        <v>123.5</v>
      </c>
      <c r="F1575" s="1">
        <v>45716</v>
      </c>
      <c r="G1575" s="1">
        <v>45717</v>
      </c>
      <c r="H1575" t="s">
        <v>12</v>
      </c>
      <c r="I1575" t="s">
        <v>3</v>
      </c>
      <c r="J1575">
        <v>4</v>
      </c>
      <c r="K1575" t="s">
        <v>4</v>
      </c>
      <c r="L1575" t="s">
        <v>40</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1660</v>
      </c>
      <c r="B1576" t="s">
        <v>7</v>
      </c>
      <c r="C1576">
        <v>5</v>
      </c>
      <c r="D1576">
        <v>61.7</v>
      </c>
      <c r="E1576">
        <v>308.5</v>
      </c>
      <c r="F1576" s="1">
        <v>45716</v>
      </c>
      <c r="G1576" s="1">
        <v>45718</v>
      </c>
      <c r="H1576" t="s">
        <v>12</v>
      </c>
      <c r="I1576" t="s">
        <v>25</v>
      </c>
      <c r="J1576">
        <v>4</v>
      </c>
      <c r="K1576" t="s">
        <v>4</v>
      </c>
      <c r="L1576" t="s">
        <v>47</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1661</v>
      </c>
      <c r="B1577" t="s">
        <v>29</v>
      </c>
      <c r="C1577">
        <v>5</v>
      </c>
      <c r="D1577">
        <v>18.2</v>
      </c>
      <c r="E1577">
        <v>91</v>
      </c>
      <c r="F1577" s="1">
        <v>45716</v>
      </c>
      <c r="G1577" s="1">
        <v>45718</v>
      </c>
      <c r="H1577" t="s">
        <v>12</v>
      </c>
      <c r="I1577" t="s">
        <v>36</v>
      </c>
      <c r="J1577">
        <v>4</v>
      </c>
      <c r="K1577" t="s">
        <v>4</v>
      </c>
      <c r="L1577" t="s">
        <v>47</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1662</v>
      </c>
      <c r="B1578" t="s">
        <v>39</v>
      </c>
      <c r="C1578">
        <v>4</v>
      </c>
      <c r="D1578">
        <v>37.200000000000003</v>
      </c>
      <c r="E1578">
        <v>148.80000000000001</v>
      </c>
      <c r="F1578" s="1">
        <v>45716</v>
      </c>
      <c r="G1578" s="1">
        <v>45722</v>
      </c>
      <c r="H1578" t="s">
        <v>12</v>
      </c>
      <c r="I1578" t="s">
        <v>3</v>
      </c>
      <c r="J1578">
        <v>4</v>
      </c>
      <c r="K1578" t="s">
        <v>4</v>
      </c>
      <c r="L1578" t="s">
        <v>47</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1663</v>
      </c>
      <c r="B1579" t="s">
        <v>31</v>
      </c>
      <c r="C1579">
        <v>3</v>
      </c>
      <c r="D1579">
        <v>53.5</v>
      </c>
      <c r="E1579">
        <v>160.5</v>
      </c>
      <c r="F1579" s="1">
        <v>45716</v>
      </c>
      <c r="G1579" s="1">
        <v>45718</v>
      </c>
      <c r="H1579" t="s">
        <v>12</v>
      </c>
      <c r="I1579" t="s">
        <v>20</v>
      </c>
      <c r="J1579">
        <v>5</v>
      </c>
      <c r="K1579" t="s">
        <v>4</v>
      </c>
      <c r="L1579" t="s">
        <v>57</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1664</v>
      </c>
      <c r="B1580" t="s">
        <v>29</v>
      </c>
      <c r="C1580">
        <v>3</v>
      </c>
      <c r="D1580">
        <v>43.6</v>
      </c>
      <c r="E1580">
        <v>130.80000000000001</v>
      </c>
      <c r="F1580" s="1">
        <v>45716</v>
      </c>
      <c r="G1580" s="1">
        <v>45716</v>
      </c>
      <c r="H1580" t="s">
        <v>12</v>
      </c>
      <c r="I1580" t="s">
        <v>3</v>
      </c>
      <c r="J1580">
        <v>4</v>
      </c>
      <c r="K1580" t="s">
        <v>4</v>
      </c>
      <c r="L1580" t="s">
        <v>57</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1665</v>
      </c>
      <c r="B1581" t="s">
        <v>7</v>
      </c>
      <c r="C1581">
        <v>10</v>
      </c>
      <c r="D1581">
        <v>135</v>
      </c>
      <c r="E1581">
        <v>1350</v>
      </c>
      <c r="F1581" s="1">
        <v>45716</v>
      </c>
      <c r="G1581" s="1">
        <v>45718</v>
      </c>
      <c r="H1581" t="s">
        <v>12</v>
      </c>
      <c r="I1581" t="s">
        <v>3</v>
      </c>
      <c r="J1581">
        <v>5</v>
      </c>
      <c r="K1581" t="s">
        <v>4</v>
      </c>
      <c r="L1581" t="s">
        <v>57</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1666</v>
      </c>
      <c r="B1582" t="s">
        <v>29</v>
      </c>
      <c r="C1582">
        <v>5</v>
      </c>
      <c r="D1582">
        <v>38.5</v>
      </c>
      <c r="E1582">
        <v>192.5</v>
      </c>
      <c r="F1582" s="1">
        <v>45716</v>
      </c>
      <c r="G1582" s="1">
        <v>45716</v>
      </c>
      <c r="H1582" t="s">
        <v>8</v>
      </c>
      <c r="I1582" t="s">
        <v>55</v>
      </c>
      <c r="J1582">
        <v>5</v>
      </c>
      <c r="K1582" t="s">
        <v>4</v>
      </c>
      <c r="L1582" t="s">
        <v>59</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1667</v>
      </c>
      <c r="B1583" t="s">
        <v>31</v>
      </c>
      <c r="C1583">
        <v>2</v>
      </c>
      <c r="D1583">
        <v>24</v>
      </c>
      <c r="E1583">
        <v>48</v>
      </c>
      <c r="F1583" s="1">
        <v>45716</v>
      </c>
      <c r="G1583" s="1">
        <v>45721</v>
      </c>
      <c r="H1583" t="s">
        <v>12</v>
      </c>
      <c r="I1583" t="s">
        <v>3</v>
      </c>
      <c r="J1583">
        <v>4</v>
      </c>
      <c r="K1583" t="s">
        <v>4</v>
      </c>
      <c r="L1583" t="s">
        <v>62</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1668</v>
      </c>
      <c r="B1584" t="s">
        <v>17</v>
      </c>
      <c r="C1584">
        <v>3</v>
      </c>
      <c r="D1584">
        <v>28.2</v>
      </c>
      <c r="E1584">
        <v>84.6</v>
      </c>
      <c r="F1584" s="1">
        <v>45716</v>
      </c>
      <c r="G1584" s="1">
        <v>45718</v>
      </c>
      <c r="H1584" t="s">
        <v>8</v>
      </c>
      <c r="I1584" t="s">
        <v>3</v>
      </c>
      <c r="J1584">
        <v>1</v>
      </c>
      <c r="K1584" t="s">
        <v>4</v>
      </c>
      <c r="L1584" t="s">
        <v>93</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1669</v>
      </c>
      <c r="B1585" t="s">
        <v>27</v>
      </c>
      <c r="C1585">
        <v>3</v>
      </c>
      <c r="D1585">
        <v>37.4</v>
      </c>
      <c r="E1585">
        <v>112.19999999999999</v>
      </c>
      <c r="F1585" s="1">
        <v>45716</v>
      </c>
      <c r="G1585" s="1">
        <v>45717</v>
      </c>
      <c r="H1585" t="s">
        <v>12</v>
      </c>
      <c r="I1585" t="s">
        <v>36</v>
      </c>
      <c r="J1585">
        <v>4</v>
      </c>
      <c r="K1585" t="s">
        <v>4</v>
      </c>
      <c r="L1585" t="s">
        <v>9</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1670</v>
      </c>
      <c r="B1586" t="s">
        <v>24</v>
      </c>
      <c r="C1586">
        <v>3</v>
      </c>
      <c r="D1586">
        <v>53.5</v>
      </c>
      <c r="E1586">
        <v>160.5</v>
      </c>
      <c r="F1586" s="1">
        <v>45716</v>
      </c>
      <c r="G1586" s="1">
        <v>45719</v>
      </c>
      <c r="H1586" t="s">
        <v>2</v>
      </c>
      <c r="I1586" t="s">
        <v>55</v>
      </c>
      <c r="J1586">
        <v>2</v>
      </c>
      <c r="K1586" t="s">
        <v>4</v>
      </c>
      <c r="L1586" t="s">
        <v>9</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1671</v>
      </c>
      <c r="B1587" t="s">
        <v>52</v>
      </c>
      <c r="C1587">
        <v>5</v>
      </c>
      <c r="D1587">
        <v>36.200000000000003</v>
      </c>
      <c r="E1587">
        <v>181</v>
      </c>
      <c r="F1587" s="1">
        <v>45716</v>
      </c>
      <c r="G1587" s="1">
        <v>45717</v>
      </c>
      <c r="H1587" t="s">
        <v>8</v>
      </c>
      <c r="I1587" t="s">
        <v>20</v>
      </c>
      <c r="J1587">
        <v>5</v>
      </c>
      <c r="K1587" t="s">
        <v>4</v>
      </c>
      <c r="L1587" t="s">
        <v>316</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1672</v>
      </c>
      <c r="B1588" t="s">
        <v>1</v>
      </c>
      <c r="C1588">
        <v>8</v>
      </c>
      <c r="D1588">
        <v>31.9</v>
      </c>
      <c r="E1588">
        <v>255.2</v>
      </c>
      <c r="F1588" s="1">
        <v>45716</v>
      </c>
      <c r="G1588" s="1">
        <v>45717</v>
      </c>
      <c r="H1588" t="s">
        <v>12</v>
      </c>
      <c r="I1588" t="s">
        <v>55</v>
      </c>
      <c r="J1588">
        <v>4</v>
      </c>
      <c r="K1588" t="s">
        <v>4</v>
      </c>
      <c r="L1588" t="s">
        <v>18</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1673</v>
      </c>
      <c r="B1589" t="s">
        <v>29</v>
      </c>
      <c r="C1589">
        <v>3</v>
      </c>
      <c r="D1589">
        <v>21.3</v>
      </c>
      <c r="E1589">
        <v>63.900000000000006</v>
      </c>
      <c r="F1589" s="1">
        <v>45716</v>
      </c>
      <c r="G1589" s="1">
        <v>45717</v>
      </c>
      <c r="H1589" t="s">
        <v>8</v>
      </c>
      <c r="I1589" t="s">
        <v>3</v>
      </c>
      <c r="J1589">
        <v>5</v>
      </c>
      <c r="K1589" t="s">
        <v>4</v>
      </c>
      <c r="L1589" t="s">
        <v>18</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1674</v>
      </c>
      <c r="B1590" t="s">
        <v>29</v>
      </c>
      <c r="C1590">
        <v>1</v>
      </c>
      <c r="D1590">
        <v>36.299999999999997</v>
      </c>
      <c r="E1590">
        <v>36.299999999999997</v>
      </c>
      <c r="F1590" s="1">
        <v>45716</v>
      </c>
      <c r="G1590" s="1">
        <v>45718</v>
      </c>
      <c r="H1590" t="s">
        <v>74</v>
      </c>
      <c r="I1590" t="s">
        <v>55</v>
      </c>
      <c r="J1590">
        <v>4</v>
      </c>
      <c r="K1590" t="s">
        <v>4</v>
      </c>
      <c r="L1590" t="s">
        <v>18</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1675</v>
      </c>
      <c r="B1591" t="s">
        <v>24</v>
      </c>
      <c r="C1591">
        <v>3</v>
      </c>
      <c r="D1591">
        <v>110.5</v>
      </c>
      <c r="E1591">
        <v>331.5</v>
      </c>
      <c r="F1591" s="1">
        <v>45716</v>
      </c>
      <c r="G1591" s="1">
        <v>45717</v>
      </c>
      <c r="H1591" t="s">
        <v>12</v>
      </c>
      <c r="I1591" t="s">
        <v>3</v>
      </c>
      <c r="J1591">
        <v>1</v>
      </c>
      <c r="K1591" t="s">
        <v>4</v>
      </c>
      <c r="L1591" t="s">
        <v>18</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1676</v>
      </c>
      <c r="B1592" t="s">
        <v>39</v>
      </c>
      <c r="C1592">
        <v>7</v>
      </c>
      <c r="D1592">
        <v>32.6</v>
      </c>
      <c r="E1592">
        <v>228.20000000000002</v>
      </c>
      <c r="F1592" s="1">
        <v>45716</v>
      </c>
      <c r="G1592" s="1">
        <v>45718</v>
      </c>
      <c r="H1592" t="s">
        <v>12</v>
      </c>
      <c r="I1592" t="s">
        <v>3</v>
      </c>
      <c r="J1592">
        <v>3</v>
      </c>
      <c r="K1592" t="s">
        <v>4</v>
      </c>
      <c r="L1592" t="s">
        <v>18</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1677</v>
      </c>
      <c r="B1593" t="s">
        <v>22</v>
      </c>
      <c r="C1593">
        <v>3</v>
      </c>
      <c r="D1593">
        <v>55.6</v>
      </c>
      <c r="E1593">
        <v>166.8</v>
      </c>
      <c r="F1593" s="1">
        <v>45717</v>
      </c>
      <c r="G1593" s="1">
        <v>45730</v>
      </c>
      <c r="H1593" t="s">
        <v>12</v>
      </c>
      <c r="I1593" t="s">
        <v>3</v>
      </c>
      <c r="J1593">
        <v>4</v>
      </c>
      <c r="K1593" t="s">
        <v>4</v>
      </c>
      <c r="L1593" t="s">
        <v>18</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1678</v>
      </c>
      <c r="B1594" t="s">
        <v>7</v>
      </c>
      <c r="C1594">
        <v>4</v>
      </c>
      <c r="D1594">
        <v>38</v>
      </c>
      <c r="E1594">
        <v>152</v>
      </c>
      <c r="F1594" s="1">
        <v>45717</v>
      </c>
      <c r="G1594" s="1">
        <v>45718</v>
      </c>
      <c r="H1594" t="s">
        <v>12</v>
      </c>
      <c r="I1594" t="s">
        <v>36</v>
      </c>
      <c r="J1594">
        <v>5</v>
      </c>
      <c r="K1594" t="s">
        <v>4</v>
      </c>
      <c r="L1594" t="s">
        <v>37</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1679</v>
      </c>
      <c r="B1595" t="s">
        <v>39</v>
      </c>
      <c r="C1595">
        <v>2</v>
      </c>
      <c r="D1595">
        <v>51.8</v>
      </c>
      <c r="E1595">
        <v>103.6</v>
      </c>
      <c r="F1595" s="1">
        <v>45717</v>
      </c>
      <c r="G1595" s="1">
        <v>45723</v>
      </c>
      <c r="H1595" t="s">
        <v>8</v>
      </c>
      <c r="I1595" t="s">
        <v>20</v>
      </c>
      <c r="J1595">
        <v>2</v>
      </c>
      <c r="K1595" t="s">
        <v>4</v>
      </c>
      <c r="L1595" t="s">
        <v>40</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1680</v>
      </c>
      <c r="B1596" t="s">
        <v>52</v>
      </c>
      <c r="C1596">
        <v>8</v>
      </c>
      <c r="D1596">
        <v>28.7</v>
      </c>
      <c r="E1596">
        <v>229.6</v>
      </c>
      <c r="F1596" s="1">
        <v>45717</v>
      </c>
      <c r="G1596" s="1">
        <v>45722</v>
      </c>
      <c r="H1596" t="s">
        <v>12</v>
      </c>
      <c r="I1596" t="s">
        <v>3</v>
      </c>
      <c r="J1596">
        <v>4</v>
      </c>
      <c r="K1596" t="s">
        <v>4</v>
      </c>
      <c r="L1596" t="s">
        <v>40</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1681</v>
      </c>
      <c r="B1597" t="s">
        <v>24</v>
      </c>
      <c r="C1597">
        <v>12</v>
      </c>
      <c r="D1597">
        <v>52.2</v>
      </c>
      <c r="E1597">
        <v>626.40000000000009</v>
      </c>
      <c r="F1597" s="1">
        <v>45717</v>
      </c>
      <c r="G1597" s="1">
        <v>45717</v>
      </c>
      <c r="H1597" t="s">
        <v>8</v>
      </c>
      <c r="I1597" t="s">
        <v>3</v>
      </c>
      <c r="J1597">
        <v>3</v>
      </c>
      <c r="K1597" t="s">
        <v>4</v>
      </c>
      <c r="L1597" t="s">
        <v>40</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1682</v>
      </c>
      <c r="B1598" t="s">
        <v>7</v>
      </c>
      <c r="C1598">
        <v>2</v>
      </c>
      <c r="D1598">
        <v>68.2</v>
      </c>
      <c r="E1598">
        <v>136.4</v>
      </c>
      <c r="F1598" s="1">
        <v>45717</v>
      </c>
      <c r="G1598" s="1">
        <v>45718</v>
      </c>
      <c r="H1598" t="s">
        <v>2</v>
      </c>
      <c r="I1598" t="s">
        <v>25</v>
      </c>
      <c r="J1598">
        <v>4</v>
      </c>
      <c r="K1598" t="s">
        <v>4</v>
      </c>
      <c r="L1598" t="s">
        <v>44</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1683</v>
      </c>
      <c r="B1599" t="s">
        <v>1</v>
      </c>
      <c r="C1599">
        <v>3</v>
      </c>
      <c r="D1599">
        <v>34</v>
      </c>
      <c r="E1599">
        <v>102</v>
      </c>
      <c r="F1599" s="1">
        <v>45717</v>
      </c>
      <c r="G1599" s="1">
        <v>45721</v>
      </c>
      <c r="H1599" t="s">
        <v>12</v>
      </c>
      <c r="I1599" t="s">
        <v>3</v>
      </c>
      <c r="J1599">
        <v>4</v>
      </c>
      <c r="K1599" t="s">
        <v>4</v>
      </c>
      <c r="L1599" t="s">
        <v>47</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1684</v>
      </c>
      <c r="B1600" t="s">
        <v>29</v>
      </c>
      <c r="C1600">
        <v>3</v>
      </c>
      <c r="D1600">
        <v>19.100000000000001</v>
      </c>
      <c r="E1600">
        <v>57.300000000000004</v>
      </c>
      <c r="F1600" s="1">
        <v>45717</v>
      </c>
      <c r="G1600" s="1">
        <v>45718</v>
      </c>
      <c r="H1600" t="s">
        <v>12</v>
      </c>
      <c r="I1600" t="s">
        <v>55</v>
      </c>
      <c r="J1600">
        <v>4</v>
      </c>
      <c r="K1600" t="s">
        <v>4</v>
      </c>
      <c r="L1600" t="s">
        <v>47</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1685</v>
      </c>
      <c r="B1601" t="s">
        <v>22</v>
      </c>
      <c r="C1601">
        <v>8</v>
      </c>
      <c r="D1601">
        <v>34</v>
      </c>
      <c r="E1601">
        <v>272</v>
      </c>
      <c r="F1601" s="1">
        <v>45717</v>
      </c>
      <c r="G1601" s="1">
        <v>45725</v>
      </c>
      <c r="H1601" t="s">
        <v>12</v>
      </c>
      <c r="I1601" t="s">
        <v>55</v>
      </c>
      <c r="J1601">
        <v>4</v>
      </c>
      <c r="K1601" t="s">
        <v>4</v>
      </c>
      <c r="L1601" t="s">
        <v>47</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1686</v>
      </c>
      <c r="B1602" t="s">
        <v>54</v>
      </c>
      <c r="C1602">
        <v>2</v>
      </c>
      <c r="D1602">
        <v>109.1</v>
      </c>
      <c r="E1602">
        <v>218.2</v>
      </c>
      <c r="F1602" s="1">
        <v>45717</v>
      </c>
      <c r="G1602" s="1">
        <v>45719</v>
      </c>
      <c r="H1602" t="s">
        <v>8</v>
      </c>
      <c r="I1602" t="s">
        <v>3</v>
      </c>
      <c r="J1602">
        <v>5</v>
      </c>
      <c r="K1602" t="s">
        <v>4</v>
      </c>
      <c r="L1602" t="s">
        <v>47</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1687</v>
      </c>
      <c r="B1603" t="s">
        <v>131</v>
      </c>
      <c r="C1603">
        <v>2</v>
      </c>
      <c r="D1603">
        <v>64.8</v>
      </c>
      <c r="E1603">
        <v>129.6</v>
      </c>
      <c r="F1603" s="1">
        <v>45717</v>
      </c>
      <c r="G1603" s="1">
        <v>45719</v>
      </c>
      <c r="H1603" t="s">
        <v>8</v>
      </c>
      <c r="I1603" t="s">
        <v>3</v>
      </c>
      <c r="J1603">
        <v>5</v>
      </c>
      <c r="K1603" t="s">
        <v>4</v>
      </c>
      <c r="L1603" t="s">
        <v>47</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1688</v>
      </c>
      <c r="B1604" t="s">
        <v>39</v>
      </c>
      <c r="C1604">
        <v>2</v>
      </c>
      <c r="D1604">
        <v>21.1</v>
      </c>
      <c r="E1604">
        <v>42.2</v>
      </c>
      <c r="F1604" s="1">
        <v>45717</v>
      </c>
      <c r="G1604" s="1">
        <v>45717</v>
      </c>
      <c r="H1604" t="s">
        <v>12</v>
      </c>
      <c r="I1604" t="s">
        <v>20</v>
      </c>
      <c r="J1604">
        <v>4</v>
      </c>
      <c r="K1604" t="s">
        <v>4</v>
      </c>
      <c r="L1604" t="s">
        <v>62</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1689</v>
      </c>
      <c r="B1605" t="s">
        <v>1</v>
      </c>
      <c r="C1605">
        <v>8</v>
      </c>
      <c r="D1605">
        <v>21.3</v>
      </c>
      <c r="E1605">
        <v>170.4</v>
      </c>
      <c r="F1605" s="1">
        <v>45717</v>
      </c>
      <c r="G1605" s="1">
        <v>45719</v>
      </c>
      <c r="H1605" t="s">
        <v>8</v>
      </c>
      <c r="I1605" t="s">
        <v>36</v>
      </c>
      <c r="J1605">
        <v>3</v>
      </c>
      <c r="K1605" t="s">
        <v>4</v>
      </c>
      <c r="L1605" t="s">
        <v>93</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1690</v>
      </c>
      <c r="B1606" t="s">
        <v>31</v>
      </c>
      <c r="C1606">
        <v>3</v>
      </c>
      <c r="D1606">
        <v>24.3</v>
      </c>
      <c r="E1606">
        <v>72.900000000000006</v>
      </c>
      <c r="F1606" s="1">
        <v>45717</v>
      </c>
      <c r="G1606" s="1">
        <v>45718</v>
      </c>
      <c r="H1606" t="s">
        <v>8</v>
      </c>
      <c r="I1606" t="s">
        <v>20</v>
      </c>
      <c r="J1606">
        <v>4</v>
      </c>
      <c r="K1606" t="s">
        <v>4</v>
      </c>
      <c r="L1606" t="s">
        <v>95</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1691</v>
      </c>
      <c r="B1607" t="s">
        <v>29</v>
      </c>
      <c r="C1607">
        <v>1</v>
      </c>
      <c r="D1607">
        <v>43.3</v>
      </c>
      <c r="E1607">
        <v>43.3</v>
      </c>
      <c r="F1607" s="1">
        <v>45717</v>
      </c>
      <c r="G1607" s="1">
        <v>45721</v>
      </c>
      <c r="H1607" t="s">
        <v>8</v>
      </c>
      <c r="I1607" t="s">
        <v>20</v>
      </c>
      <c r="J1607">
        <v>3</v>
      </c>
      <c r="K1607" t="s">
        <v>4</v>
      </c>
      <c r="L1607" t="s">
        <v>67</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1692</v>
      </c>
      <c r="B1608" t="s">
        <v>31</v>
      </c>
      <c r="C1608">
        <v>3</v>
      </c>
      <c r="D1608">
        <v>41</v>
      </c>
      <c r="E1608">
        <v>123</v>
      </c>
      <c r="F1608" s="1">
        <v>45717</v>
      </c>
      <c r="G1608" s="1">
        <v>45718</v>
      </c>
      <c r="H1608" t="s">
        <v>12</v>
      </c>
      <c r="I1608" t="s">
        <v>36</v>
      </c>
      <c r="J1608">
        <v>2</v>
      </c>
      <c r="K1608" t="s">
        <v>4</v>
      </c>
      <c r="L1608" t="s">
        <v>100</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1693</v>
      </c>
      <c r="B1609" t="s">
        <v>113</v>
      </c>
      <c r="C1609">
        <v>3</v>
      </c>
      <c r="D1609">
        <v>54.1</v>
      </c>
      <c r="E1609">
        <v>162.30000000000001</v>
      </c>
      <c r="F1609" s="1">
        <v>45717</v>
      </c>
      <c r="G1609" s="1">
        <v>45719</v>
      </c>
      <c r="H1609" t="s">
        <v>12</v>
      </c>
      <c r="I1609" t="s">
        <v>55</v>
      </c>
      <c r="J1609">
        <v>4</v>
      </c>
      <c r="K1609" t="s">
        <v>4</v>
      </c>
      <c r="L1609" t="s">
        <v>100</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1694</v>
      </c>
      <c r="B1610" t="s">
        <v>52</v>
      </c>
      <c r="C1610">
        <v>2</v>
      </c>
      <c r="D1610">
        <v>39</v>
      </c>
      <c r="E1610">
        <v>78</v>
      </c>
      <c r="F1610" s="1">
        <v>45717</v>
      </c>
      <c r="G1610" s="1">
        <v>45718</v>
      </c>
      <c r="H1610" t="s">
        <v>8</v>
      </c>
      <c r="I1610" t="s">
        <v>20</v>
      </c>
      <c r="J1610">
        <v>5</v>
      </c>
      <c r="K1610" t="s">
        <v>4</v>
      </c>
      <c r="L1610" t="s">
        <v>9</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1695</v>
      </c>
      <c r="B1611" t="s">
        <v>29</v>
      </c>
      <c r="C1611">
        <v>2</v>
      </c>
      <c r="D1611">
        <v>40.299999999999997</v>
      </c>
      <c r="E1611">
        <v>80.599999999999994</v>
      </c>
      <c r="F1611" s="1">
        <v>45717</v>
      </c>
      <c r="G1611" s="1">
        <v>45719</v>
      </c>
      <c r="H1611" t="s">
        <v>8</v>
      </c>
      <c r="I1611" t="s">
        <v>36</v>
      </c>
      <c r="J1611">
        <v>4</v>
      </c>
      <c r="K1611" t="s">
        <v>4</v>
      </c>
      <c r="L1611" t="s">
        <v>193</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1696</v>
      </c>
      <c r="B1612" t="s">
        <v>29</v>
      </c>
      <c r="C1612">
        <v>3</v>
      </c>
      <c r="D1612">
        <v>24.1</v>
      </c>
      <c r="E1612">
        <v>72.300000000000011</v>
      </c>
      <c r="F1612" s="1">
        <v>45717</v>
      </c>
      <c r="G1612" s="1">
        <v>45718</v>
      </c>
      <c r="H1612" t="s">
        <v>8</v>
      </c>
      <c r="I1612" t="s">
        <v>3</v>
      </c>
      <c r="J1612">
        <v>5</v>
      </c>
      <c r="K1612" t="s">
        <v>4</v>
      </c>
      <c r="L1612" t="s">
        <v>319</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1697</v>
      </c>
      <c r="B1613" t="s">
        <v>24</v>
      </c>
      <c r="C1613">
        <v>5</v>
      </c>
      <c r="D1613">
        <v>52.3</v>
      </c>
      <c r="E1613">
        <v>261.5</v>
      </c>
      <c r="F1613" s="1">
        <v>45717</v>
      </c>
      <c r="G1613" s="1">
        <v>45718</v>
      </c>
      <c r="H1613" t="s">
        <v>8</v>
      </c>
      <c r="I1613" t="s">
        <v>25</v>
      </c>
      <c r="J1613">
        <v>4</v>
      </c>
      <c r="K1613" t="s">
        <v>4</v>
      </c>
      <c r="L1613" t="s">
        <v>18</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1698</v>
      </c>
      <c r="B1614" t="s">
        <v>54</v>
      </c>
      <c r="C1614">
        <v>4</v>
      </c>
      <c r="D1614">
        <v>68.8</v>
      </c>
      <c r="E1614">
        <v>275.2</v>
      </c>
      <c r="F1614" s="1">
        <v>45717</v>
      </c>
      <c r="G1614" s="1">
        <v>45721</v>
      </c>
      <c r="H1614" t="s">
        <v>12</v>
      </c>
      <c r="I1614" t="s">
        <v>55</v>
      </c>
      <c r="J1614">
        <v>5</v>
      </c>
      <c r="K1614" t="s">
        <v>4</v>
      </c>
      <c r="L1614" t="s">
        <v>18</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1699</v>
      </c>
      <c r="B1615" t="s">
        <v>11</v>
      </c>
      <c r="C1615">
        <v>2</v>
      </c>
      <c r="D1615">
        <v>128.80000000000001</v>
      </c>
      <c r="E1615">
        <v>257.60000000000002</v>
      </c>
      <c r="F1615" s="1">
        <v>45718</v>
      </c>
      <c r="G1615" s="1">
        <v>45721</v>
      </c>
      <c r="H1615" t="s">
        <v>12</v>
      </c>
      <c r="I1615" t="s">
        <v>20</v>
      </c>
      <c r="J1615">
        <v>3</v>
      </c>
      <c r="K1615" t="s">
        <v>4</v>
      </c>
      <c r="L1615" t="s">
        <v>18</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1700</v>
      </c>
      <c r="B1616" t="s">
        <v>108</v>
      </c>
      <c r="C1616">
        <v>5</v>
      </c>
      <c r="D1616">
        <v>48.2</v>
      </c>
      <c r="E1616">
        <v>241</v>
      </c>
      <c r="F1616" s="1">
        <v>45718</v>
      </c>
      <c r="G1616" s="1">
        <v>45720</v>
      </c>
      <c r="H1616" t="s">
        <v>12</v>
      </c>
      <c r="I1616" t="s">
        <v>36</v>
      </c>
      <c r="J1616">
        <v>4</v>
      </c>
      <c r="K1616" t="s">
        <v>4</v>
      </c>
      <c r="L1616" t="s">
        <v>18</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1701</v>
      </c>
      <c r="B1617" t="s">
        <v>39</v>
      </c>
      <c r="C1617">
        <v>1</v>
      </c>
      <c r="D1617">
        <v>39.700000000000003</v>
      </c>
      <c r="E1617">
        <v>39.700000000000003</v>
      </c>
      <c r="F1617" s="1">
        <v>45718</v>
      </c>
      <c r="G1617" s="1">
        <v>45720</v>
      </c>
      <c r="H1617" t="s">
        <v>12</v>
      </c>
      <c r="I1617" t="s">
        <v>3</v>
      </c>
      <c r="J1617">
        <v>3</v>
      </c>
      <c r="K1617" t="s">
        <v>4</v>
      </c>
      <c r="L1617" t="s">
        <v>18</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1702</v>
      </c>
      <c r="B1618" t="s">
        <v>31</v>
      </c>
      <c r="C1618">
        <v>1</v>
      </c>
      <c r="D1618">
        <v>59.7</v>
      </c>
      <c r="E1618">
        <v>59.7</v>
      </c>
      <c r="F1618" s="1">
        <v>45718</v>
      </c>
      <c r="G1618" s="1">
        <v>45721</v>
      </c>
      <c r="H1618" t="s">
        <v>12</v>
      </c>
      <c r="I1618" t="s">
        <v>55</v>
      </c>
      <c r="J1618">
        <v>4</v>
      </c>
      <c r="K1618" t="s">
        <v>4</v>
      </c>
      <c r="L1618" t="s">
        <v>18</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1703</v>
      </c>
      <c r="B1619" t="s">
        <v>24</v>
      </c>
      <c r="C1619">
        <v>1</v>
      </c>
      <c r="D1619">
        <v>48.3</v>
      </c>
      <c r="E1619">
        <v>48.3</v>
      </c>
      <c r="F1619" s="1">
        <v>45718</v>
      </c>
      <c r="G1619" s="1">
        <v>45732</v>
      </c>
      <c r="H1619" t="s">
        <v>74</v>
      </c>
      <c r="I1619" t="s">
        <v>3</v>
      </c>
      <c r="J1619">
        <v>5</v>
      </c>
      <c r="K1619" t="s">
        <v>4</v>
      </c>
      <c r="L1619" t="s">
        <v>18</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1704</v>
      </c>
      <c r="B1620" t="s">
        <v>29</v>
      </c>
      <c r="C1620">
        <v>3</v>
      </c>
      <c r="D1620">
        <v>45.5</v>
      </c>
      <c r="E1620">
        <v>136.5</v>
      </c>
      <c r="F1620" s="1">
        <v>45718</v>
      </c>
      <c r="G1620" s="1">
        <v>45720</v>
      </c>
      <c r="H1620" t="s">
        <v>8</v>
      </c>
      <c r="I1620" t="s">
        <v>25</v>
      </c>
      <c r="J1620">
        <v>3</v>
      </c>
      <c r="K1620" t="s">
        <v>4</v>
      </c>
      <c r="L1620" t="s">
        <v>18</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1705</v>
      </c>
      <c r="B1621" t="s">
        <v>31</v>
      </c>
      <c r="C1621">
        <v>27</v>
      </c>
      <c r="D1621">
        <v>51</v>
      </c>
      <c r="E1621">
        <v>1377</v>
      </c>
      <c r="F1621" s="1">
        <v>45718</v>
      </c>
      <c r="G1621" s="1">
        <v>45718</v>
      </c>
      <c r="H1621" t="s">
        <v>12</v>
      </c>
      <c r="I1621" t="s">
        <v>25</v>
      </c>
      <c r="J1621">
        <v>4</v>
      </c>
      <c r="K1621" t="s">
        <v>4</v>
      </c>
      <c r="L1621" t="s">
        <v>18</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1706</v>
      </c>
      <c r="B1622" t="s">
        <v>17</v>
      </c>
      <c r="C1622">
        <v>6</v>
      </c>
      <c r="D1622">
        <v>20.399999999999999</v>
      </c>
      <c r="E1622">
        <v>122.39999999999999</v>
      </c>
      <c r="F1622" s="1">
        <v>45718</v>
      </c>
      <c r="G1622" s="1">
        <v>45719</v>
      </c>
      <c r="H1622" t="s">
        <v>8</v>
      </c>
      <c r="I1622" t="s">
        <v>25</v>
      </c>
      <c r="J1622">
        <v>4</v>
      </c>
      <c r="K1622" t="s">
        <v>4</v>
      </c>
      <c r="L1622" t="s">
        <v>18</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1707</v>
      </c>
      <c r="B1623" t="s">
        <v>39</v>
      </c>
      <c r="C1623">
        <v>2</v>
      </c>
      <c r="D1623">
        <v>30.4</v>
      </c>
      <c r="E1623">
        <v>60.8</v>
      </c>
      <c r="F1623" s="1">
        <v>45718</v>
      </c>
      <c r="G1623" s="1">
        <v>45720</v>
      </c>
      <c r="H1623" t="s">
        <v>8</v>
      </c>
      <c r="I1623" t="s">
        <v>25</v>
      </c>
      <c r="J1623">
        <v>4</v>
      </c>
      <c r="K1623" t="s">
        <v>4</v>
      </c>
      <c r="L1623" t="s">
        <v>18</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1708</v>
      </c>
      <c r="B1624" t="s">
        <v>27</v>
      </c>
      <c r="C1624">
        <v>2</v>
      </c>
      <c r="D1624">
        <v>71.5</v>
      </c>
      <c r="E1624">
        <v>143</v>
      </c>
      <c r="F1624" s="1">
        <v>45718</v>
      </c>
      <c r="G1624" s="1">
        <v>45722</v>
      </c>
      <c r="H1624" t="s">
        <v>12</v>
      </c>
      <c r="I1624" t="s">
        <v>3</v>
      </c>
      <c r="J1624">
        <v>4</v>
      </c>
      <c r="K1624" t="s">
        <v>4</v>
      </c>
      <c r="L1624" t="s">
        <v>18</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1709</v>
      </c>
      <c r="B1625" t="s">
        <v>29</v>
      </c>
      <c r="C1625">
        <v>6</v>
      </c>
      <c r="D1625">
        <v>18</v>
      </c>
      <c r="E1625">
        <v>108</v>
      </c>
      <c r="F1625" s="1">
        <v>45718</v>
      </c>
      <c r="G1625" s="1">
        <v>45719</v>
      </c>
      <c r="H1625" t="s">
        <v>74</v>
      </c>
      <c r="I1625" t="s">
        <v>20</v>
      </c>
      <c r="J1625">
        <v>5</v>
      </c>
      <c r="K1625" t="s">
        <v>4</v>
      </c>
      <c r="L1625" t="s">
        <v>40</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1710</v>
      </c>
      <c r="B1626" t="s">
        <v>108</v>
      </c>
      <c r="C1626">
        <v>11</v>
      </c>
      <c r="D1626">
        <v>45.6</v>
      </c>
      <c r="E1626">
        <v>501.6</v>
      </c>
      <c r="F1626" s="1">
        <v>45718</v>
      </c>
      <c r="G1626" s="1">
        <v>45719</v>
      </c>
      <c r="H1626" t="s">
        <v>74</v>
      </c>
      <c r="I1626" t="s">
        <v>20</v>
      </c>
      <c r="J1626">
        <v>3</v>
      </c>
      <c r="K1626" t="s">
        <v>4</v>
      </c>
      <c r="L1626" t="s">
        <v>44</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1711</v>
      </c>
      <c r="B1627" t="s">
        <v>31</v>
      </c>
      <c r="C1627">
        <v>1</v>
      </c>
      <c r="D1627">
        <v>31.8</v>
      </c>
      <c r="E1627">
        <v>31.8</v>
      </c>
      <c r="F1627" s="1">
        <v>45718</v>
      </c>
      <c r="G1627" s="1">
        <v>45722</v>
      </c>
      <c r="H1627" t="s">
        <v>12</v>
      </c>
      <c r="I1627" t="s">
        <v>3</v>
      </c>
      <c r="J1627">
        <v>5</v>
      </c>
      <c r="K1627" t="s">
        <v>4</v>
      </c>
      <c r="L1627" t="s">
        <v>44</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1712</v>
      </c>
      <c r="B1628" t="s">
        <v>29</v>
      </c>
      <c r="C1628">
        <v>5</v>
      </c>
      <c r="D1628">
        <v>19.899999999999999</v>
      </c>
      <c r="E1628">
        <v>99.5</v>
      </c>
      <c r="F1628" s="1">
        <v>45718</v>
      </c>
      <c r="G1628" s="1">
        <v>45719</v>
      </c>
      <c r="H1628" t="s">
        <v>12</v>
      </c>
      <c r="I1628" t="s">
        <v>20</v>
      </c>
      <c r="J1628">
        <v>4</v>
      </c>
      <c r="K1628" t="s">
        <v>4</v>
      </c>
      <c r="L1628" t="s">
        <v>44</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1713</v>
      </c>
      <c r="B1629" t="s">
        <v>54</v>
      </c>
      <c r="C1629">
        <v>9</v>
      </c>
      <c r="D1629">
        <v>52.1</v>
      </c>
      <c r="E1629">
        <v>468.90000000000003</v>
      </c>
      <c r="F1629" s="1">
        <v>45718</v>
      </c>
      <c r="G1629" s="1">
        <v>45720</v>
      </c>
      <c r="H1629" t="s">
        <v>8</v>
      </c>
      <c r="I1629" t="s">
        <v>3</v>
      </c>
      <c r="J1629">
        <v>4</v>
      </c>
      <c r="K1629" t="s">
        <v>4</v>
      </c>
      <c r="L1629" t="s">
        <v>47</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1714</v>
      </c>
      <c r="B1630" t="s">
        <v>7</v>
      </c>
      <c r="C1630">
        <v>7</v>
      </c>
      <c r="D1630">
        <v>45.9</v>
      </c>
      <c r="E1630">
        <v>321.3</v>
      </c>
      <c r="F1630" s="1">
        <v>45718</v>
      </c>
      <c r="G1630" s="1">
        <v>45719</v>
      </c>
      <c r="H1630" t="s">
        <v>8</v>
      </c>
      <c r="I1630" t="s">
        <v>3</v>
      </c>
      <c r="J1630">
        <v>3</v>
      </c>
      <c r="K1630" t="s">
        <v>4</v>
      </c>
      <c r="L1630" t="s">
        <v>47</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1715</v>
      </c>
      <c r="B1631" t="s">
        <v>7</v>
      </c>
      <c r="C1631">
        <v>10</v>
      </c>
      <c r="D1631">
        <v>115.9</v>
      </c>
      <c r="E1631">
        <v>1159</v>
      </c>
      <c r="F1631" s="1">
        <v>45718</v>
      </c>
      <c r="G1631" s="1">
        <v>45721</v>
      </c>
      <c r="H1631" t="s">
        <v>12</v>
      </c>
      <c r="I1631" t="s">
        <v>20</v>
      </c>
      <c r="J1631">
        <v>4</v>
      </c>
      <c r="K1631" t="s">
        <v>4</v>
      </c>
      <c r="L1631" t="s">
        <v>47</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1716</v>
      </c>
      <c r="B1632" t="s">
        <v>24</v>
      </c>
      <c r="C1632">
        <v>9</v>
      </c>
      <c r="D1632">
        <v>86</v>
      </c>
      <c r="E1632">
        <v>774</v>
      </c>
      <c r="F1632" s="1">
        <v>45718</v>
      </c>
      <c r="G1632" s="1">
        <v>45723</v>
      </c>
      <c r="H1632" t="s">
        <v>12</v>
      </c>
      <c r="I1632" t="s">
        <v>3</v>
      </c>
      <c r="J1632">
        <v>3</v>
      </c>
      <c r="K1632" t="s">
        <v>4</v>
      </c>
      <c r="L1632" t="s">
        <v>47</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1717</v>
      </c>
      <c r="B1633" t="s">
        <v>27</v>
      </c>
      <c r="C1633">
        <v>7</v>
      </c>
      <c r="D1633">
        <v>73.599999999999994</v>
      </c>
      <c r="E1633">
        <v>515.19999999999993</v>
      </c>
      <c r="F1633" s="1">
        <v>45718</v>
      </c>
      <c r="G1633" s="1">
        <v>45720</v>
      </c>
      <c r="H1633" t="s">
        <v>12</v>
      </c>
      <c r="I1633" t="s">
        <v>3</v>
      </c>
      <c r="J1633">
        <v>4</v>
      </c>
      <c r="K1633" t="s">
        <v>4</v>
      </c>
      <c r="L1633" t="s">
        <v>88</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1718</v>
      </c>
      <c r="B1634" t="s">
        <v>39</v>
      </c>
      <c r="C1634">
        <v>3</v>
      </c>
      <c r="D1634">
        <v>26.7</v>
      </c>
      <c r="E1634">
        <v>80.099999999999994</v>
      </c>
      <c r="F1634" s="1">
        <v>45718</v>
      </c>
      <c r="G1634" s="1">
        <v>45722</v>
      </c>
      <c r="H1634" t="s">
        <v>12</v>
      </c>
      <c r="I1634" t="s">
        <v>3</v>
      </c>
      <c r="J1634">
        <v>4</v>
      </c>
      <c r="K1634" t="s">
        <v>4</v>
      </c>
      <c r="L1634" t="s">
        <v>62</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1719</v>
      </c>
      <c r="B1635" t="s">
        <v>29</v>
      </c>
      <c r="C1635">
        <v>7</v>
      </c>
      <c r="D1635">
        <v>46.6</v>
      </c>
      <c r="E1635">
        <v>326.2</v>
      </c>
      <c r="F1635" s="1">
        <v>45718</v>
      </c>
      <c r="G1635" s="1">
        <v>45720</v>
      </c>
      <c r="H1635" t="s">
        <v>2</v>
      </c>
      <c r="I1635" t="s">
        <v>36</v>
      </c>
      <c r="J1635">
        <v>4</v>
      </c>
      <c r="K1635" t="s">
        <v>4</v>
      </c>
      <c r="L1635" t="s">
        <v>62</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1720</v>
      </c>
      <c r="B1636" t="s">
        <v>15</v>
      </c>
      <c r="C1636">
        <v>3</v>
      </c>
      <c r="D1636">
        <v>84.6</v>
      </c>
      <c r="E1636">
        <v>253.79999999999998</v>
      </c>
      <c r="F1636" s="1">
        <v>45718</v>
      </c>
      <c r="G1636" s="1">
        <v>45720</v>
      </c>
      <c r="H1636" t="s">
        <v>8</v>
      </c>
      <c r="I1636" t="s">
        <v>55</v>
      </c>
      <c r="J1636">
        <v>4</v>
      </c>
      <c r="K1636" t="s">
        <v>4</v>
      </c>
      <c r="L1636" t="s">
        <v>62</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1721</v>
      </c>
      <c r="B1637" t="s">
        <v>27</v>
      </c>
      <c r="C1637">
        <v>14</v>
      </c>
      <c r="D1637">
        <v>41.5</v>
      </c>
      <c r="E1637">
        <v>581</v>
      </c>
      <c r="F1637" s="1">
        <v>45718</v>
      </c>
      <c r="G1637" s="1">
        <v>45732</v>
      </c>
      <c r="H1637" t="s">
        <v>8</v>
      </c>
      <c r="I1637" t="s">
        <v>20</v>
      </c>
      <c r="J1637">
        <v>4</v>
      </c>
      <c r="K1637" t="s">
        <v>4</v>
      </c>
      <c r="L1637" t="s">
        <v>1101</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1722</v>
      </c>
      <c r="B1638" t="s">
        <v>29</v>
      </c>
      <c r="C1638">
        <v>1</v>
      </c>
      <c r="D1638">
        <v>32.799999999999997</v>
      </c>
      <c r="E1638">
        <v>32.799999999999997</v>
      </c>
      <c r="F1638" s="1">
        <v>45718</v>
      </c>
      <c r="G1638" s="1">
        <v>45721</v>
      </c>
      <c r="H1638" t="s">
        <v>8</v>
      </c>
      <c r="I1638" t="s">
        <v>3</v>
      </c>
      <c r="J1638">
        <v>5</v>
      </c>
      <c r="K1638" t="s">
        <v>4</v>
      </c>
      <c r="L1638" t="s">
        <v>253</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1723</v>
      </c>
      <c r="B1639" t="s">
        <v>17</v>
      </c>
      <c r="C1639">
        <v>7</v>
      </c>
      <c r="D1639">
        <v>46.7</v>
      </c>
      <c r="E1639">
        <v>326.90000000000003</v>
      </c>
      <c r="F1639" s="1">
        <v>45718</v>
      </c>
      <c r="G1639" s="1">
        <v>45720</v>
      </c>
      <c r="H1639" t="s">
        <v>74</v>
      </c>
      <c r="I1639" t="s">
        <v>3</v>
      </c>
      <c r="J1639">
        <v>5</v>
      </c>
      <c r="K1639" t="s">
        <v>4</v>
      </c>
      <c r="L1639" t="s">
        <v>93</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1724</v>
      </c>
      <c r="B1640" t="s">
        <v>108</v>
      </c>
      <c r="C1640">
        <v>7</v>
      </c>
      <c r="D1640">
        <v>21</v>
      </c>
      <c r="E1640">
        <v>147</v>
      </c>
      <c r="F1640" s="1">
        <v>45718</v>
      </c>
      <c r="G1640" s="1">
        <v>45721</v>
      </c>
      <c r="H1640" t="s">
        <v>8</v>
      </c>
      <c r="I1640" t="s">
        <v>25</v>
      </c>
      <c r="J1640">
        <v>3</v>
      </c>
      <c r="K1640" t="s">
        <v>4</v>
      </c>
      <c r="L1640" t="s">
        <v>100</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1725</v>
      </c>
      <c r="B1641" t="s">
        <v>22</v>
      </c>
      <c r="C1641">
        <v>7</v>
      </c>
      <c r="D1641">
        <v>29.4</v>
      </c>
      <c r="E1641">
        <v>205.79999999999998</v>
      </c>
      <c r="F1641" s="1">
        <v>45718</v>
      </c>
      <c r="G1641" s="1">
        <v>45718</v>
      </c>
      <c r="H1641" t="s">
        <v>8</v>
      </c>
      <c r="I1641" t="s">
        <v>36</v>
      </c>
      <c r="J1641">
        <v>5</v>
      </c>
      <c r="K1641" t="s">
        <v>4</v>
      </c>
      <c r="L1641" t="s">
        <v>100</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1726</v>
      </c>
      <c r="B1642" t="s">
        <v>108</v>
      </c>
      <c r="C1642">
        <v>2</v>
      </c>
      <c r="D1642">
        <v>32.299999999999997</v>
      </c>
      <c r="E1642">
        <v>64.599999999999994</v>
      </c>
      <c r="F1642" s="1">
        <v>45718</v>
      </c>
      <c r="G1642" s="1">
        <v>45719</v>
      </c>
      <c r="H1642" t="s">
        <v>8</v>
      </c>
      <c r="I1642" t="s">
        <v>3</v>
      </c>
      <c r="J1642">
        <v>5</v>
      </c>
      <c r="K1642" t="s">
        <v>4</v>
      </c>
      <c r="L1642" t="s">
        <v>100</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1727</v>
      </c>
      <c r="B1643" t="s">
        <v>24</v>
      </c>
      <c r="C1643">
        <v>1</v>
      </c>
      <c r="D1643">
        <v>42.2</v>
      </c>
      <c r="E1643">
        <v>42.2</v>
      </c>
      <c r="F1643" s="1">
        <v>45719</v>
      </c>
      <c r="G1643" s="1">
        <v>45721</v>
      </c>
      <c r="H1643" t="s">
        <v>12</v>
      </c>
      <c r="I1643" t="s">
        <v>3</v>
      </c>
      <c r="J1643">
        <v>5</v>
      </c>
      <c r="K1643" t="s">
        <v>4</v>
      </c>
      <c r="L1643" t="s">
        <v>100</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1728</v>
      </c>
      <c r="B1644" t="s">
        <v>24</v>
      </c>
      <c r="C1644">
        <v>1</v>
      </c>
      <c r="D1644">
        <v>53.7</v>
      </c>
      <c r="E1644">
        <v>53.7</v>
      </c>
      <c r="F1644" s="1">
        <v>45719</v>
      </c>
      <c r="G1644" s="1">
        <v>45721</v>
      </c>
      <c r="H1644" t="s">
        <v>8</v>
      </c>
      <c r="I1644" t="s">
        <v>20</v>
      </c>
      <c r="J1644">
        <v>3</v>
      </c>
      <c r="K1644" t="s">
        <v>4</v>
      </c>
      <c r="L1644" t="s">
        <v>9</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1729</v>
      </c>
      <c r="B1645" t="s">
        <v>11</v>
      </c>
      <c r="C1645">
        <v>2</v>
      </c>
      <c r="D1645">
        <v>123.9</v>
      </c>
      <c r="E1645">
        <v>247.8</v>
      </c>
      <c r="F1645" s="1">
        <v>45719</v>
      </c>
      <c r="G1645" s="1">
        <v>45722</v>
      </c>
      <c r="H1645" t="s">
        <v>8</v>
      </c>
      <c r="I1645" t="s">
        <v>25</v>
      </c>
      <c r="J1645">
        <v>4</v>
      </c>
      <c r="K1645" t="s">
        <v>4</v>
      </c>
      <c r="L1645" t="s">
        <v>9</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1730</v>
      </c>
      <c r="B1646" t="s">
        <v>17</v>
      </c>
      <c r="C1646">
        <v>3</v>
      </c>
      <c r="D1646">
        <v>35.9</v>
      </c>
      <c r="E1646">
        <v>107.69999999999999</v>
      </c>
      <c r="F1646" s="1">
        <v>45719</v>
      </c>
      <c r="G1646" s="1">
        <v>45721</v>
      </c>
      <c r="H1646" t="s">
        <v>8</v>
      </c>
      <c r="I1646" t="s">
        <v>25</v>
      </c>
      <c r="J1646">
        <v>4</v>
      </c>
      <c r="K1646" t="s">
        <v>4</v>
      </c>
      <c r="L1646" t="s">
        <v>132</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1731</v>
      </c>
      <c r="B1647" t="s">
        <v>17</v>
      </c>
      <c r="C1647">
        <v>2</v>
      </c>
      <c r="D1647">
        <v>23.6</v>
      </c>
      <c r="E1647">
        <v>47.2</v>
      </c>
      <c r="F1647" s="1">
        <v>45719</v>
      </c>
      <c r="G1647" s="1">
        <v>45722</v>
      </c>
      <c r="H1647" t="s">
        <v>8</v>
      </c>
      <c r="I1647" t="s">
        <v>3</v>
      </c>
      <c r="J1647">
        <v>5</v>
      </c>
      <c r="K1647" t="s">
        <v>4</v>
      </c>
      <c r="L1647" t="s">
        <v>18</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1732</v>
      </c>
      <c r="B1648" t="s">
        <v>108</v>
      </c>
      <c r="C1648">
        <v>35</v>
      </c>
      <c r="D1648">
        <v>45.7</v>
      </c>
      <c r="E1648">
        <v>1599.5</v>
      </c>
      <c r="F1648" s="1">
        <v>45719</v>
      </c>
      <c r="G1648" s="1">
        <v>45720</v>
      </c>
      <c r="H1648" t="s">
        <v>8</v>
      </c>
      <c r="I1648" t="s">
        <v>3</v>
      </c>
      <c r="J1648">
        <v>3</v>
      </c>
      <c r="K1648" t="s">
        <v>4</v>
      </c>
      <c r="L1648" t="s">
        <v>18</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1733</v>
      </c>
      <c r="B1649" t="s">
        <v>24</v>
      </c>
      <c r="C1649">
        <v>11</v>
      </c>
      <c r="D1649">
        <v>118.3</v>
      </c>
      <c r="E1649">
        <v>1301.3</v>
      </c>
      <c r="F1649" s="1">
        <v>45719</v>
      </c>
      <c r="G1649" s="1">
        <v>45721</v>
      </c>
      <c r="H1649" t="s">
        <v>8</v>
      </c>
      <c r="I1649" t="s">
        <v>55</v>
      </c>
      <c r="J1649">
        <v>5</v>
      </c>
      <c r="K1649" t="s">
        <v>4</v>
      </c>
      <c r="L1649" t="s">
        <v>18</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1734</v>
      </c>
      <c r="B1650" t="s">
        <v>156</v>
      </c>
      <c r="C1650">
        <v>1</v>
      </c>
      <c r="D1650">
        <v>36</v>
      </c>
      <c r="E1650">
        <v>36</v>
      </c>
      <c r="F1650" s="1">
        <v>45719</v>
      </c>
      <c r="G1650" s="1">
        <v>45720</v>
      </c>
      <c r="H1650" t="s">
        <v>12</v>
      </c>
      <c r="I1650" t="s">
        <v>3</v>
      </c>
      <c r="J1650">
        <v>3</v>
      </c>
      <c r="K1650" t="s">
        <v>4</v>
      </c>
      <c r="L1650" t="s">
        <v>18</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1735</v>
      </c>
      <c r="B1651" t="s">
        <v>29</v>
      </c>
      <c r="C1651">
        <v>2</v>
      </c>
      <c r="D1651">
        <v>37.1</v>
      </c>
      <c r="E1651">
        <v>74.2</v>
      </c>
      <c r="F1651" s="1">
        <v>45719</v>
      </c>
      <c r="G1651" s="1">
        <v>45722</v>
      </c>
      <c r="H1651" t="s">
        <v>12</v>
      </c>
      <c r="I1651" t="s">
        <v>25</v>
      </c>
      <c r="J1651">
        <v>4</v>
      </c>
      <c r="K1651" t="s">
        <v>4</v>
      </c>
      <c r="L1651" t="s">
        <v>18</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1736</v>
      </c>
      <c r="B1652" t="s">
        <v>131</v>
      </c>
      <c r="C1652">
        <v>3</v>
      </c>
      <c r="D1652">
        <v>45.1</v>
      </c>
      <c r="E1652">
        <v>135.30000000000001</v>
      </c>
      <c r="F1652" s="1">
        <v>45719</v>
      </c>
      <c r="G1652" s="1">
        <v>45721</v>
      </c>
      <c r="H1652" t="s">
        <v>12</v>
      </c>
      <c r="I1652" t="s">
        <v>20</v>
      </c>
      <c r="J1652">
        <v>5</v>
      </c>
      <c r="K1652" t="s">
        <v>4</v>
      </c>
      <c r="L1652" t="s">
        <v>18</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1737</v>
      </c>
      <c r="B1653" t="s">
        <v>22</v>
      </c>
      <c r="C1653">
        <v>16</v>
      </c>
      <c r="D1653">
        <v>37.9</v>
      </c>
      <c r="E1653">
        <v>606.4</v>
      </c>
      <c r="F1653" s="1">
        <v>45719</v>
      </c>
      <c r="G1653" s="1">
        <v>45720</v>
      </c>
      <c r="H1653" t="s">
        <v>12</v>
      </c>
      <c r="I1653" t="s">
        <v>36</v>
      </c>
      <c r="J1653">
        <v>5</v>
      </c>
      <c r="K1653" t="s">
        <v>4</v>
      </c>
      <c r="L1653" t="s">
        <v>18</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1738</v>
      </c>
      <c r="B1654" t="s">
        <v>11</v>
      </c>
      <c r="C1654">
        <v>2</v>
      </c>
      <c r="D1654">
        <v>121.6</v>
      </c>
      <c r="E1654">
        <v>243.2</v>
      </c>
      <c r="F1654" s="1">
        <v>45719</v>
      </c>
      <c r="G1654" s="1">
        <v>45722</v>
      </c>
      <c r="H1654" t="s">
        <v>8</v>
      </c>
      <c r="I1654" t="s">
        <v>36</v>
      </c>
      <c r="J1654">
        <v>5</v>
      </c>
      <c r="K1654" t="s">
        <v>4</v>
      </c>
      <c r="L1654" t="s">
        <v>18</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1739</v>
      </c>
      <c r="B1655" t="s">
        <v>22</v>
      </c>
      <c r="C1655">
        <v>7</v>
      </c>
      <c r="D1655">
        <v>38.200000000000003</v>
      </c>
      <c r="E1655">
        <v>267.40000000000003</v>
      </c>
      <c r="F1655" s="1">
        <v>45719</v>
      </c>
      <c r="G1655" s="1">
        <v>45722</v>
      </c>
      <c r="H1655" t="s">
        <v>12</v>
      </c>
      <c r="I1655" t="s">
        <v>3</v>
      </c>
      <c r="J1655">
        <v>4</v>
      </c>
      <c r="K1655" t="s">
        <v>4</v>
      </c>
      <c r="L1655" t="s">
        <v>18</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1740</v>
      </c>
      <c r="B1656" t="s">
        <v>120</v>
      </c>
      <c r="C1656">
        <v>2</v>
      </c>
      <c r="D1656">
        <v>37.200000000000003</v>
      </c>
      <c r="E1656">
        <v>74.400000000000006</v>
      </c>
      <c r="F1656" s="1">
        <v>45719</v>
      </c>
      <c r="G1656" s="1">
        <v>45722</v>
      </c>
      <c r="H1656" t="s">
        <v>8</v>
      </c>
      <c r="I1656" t="s">
        <v>55</v>
      </c>
      <c r="J1656">
        <v>4</v>
      </c>
      <c r="K1656" t="s">
        <v>4</v>
      </c>
      <c r="L1656" t="s">
        <v>18</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1741</v>
      </c>
      <c r="B1657" t="s">
        <v>11</v>
      </c>
      <c r="C1657">
        <v>4</v>
      </c>
      <c r="D1657">
        <v>115.7</v>
      </c>
      <c r="E1657">
        <v>462.8</v>
      </c>
      <c r="F1657" s="1">
        <v>45719</v>
      </c>
      <c r="G1657" s="1">
        <v>45722</v>
      </c>
      <c r="H1657" t="s">
        <v>12</v>
      </c>
      <c r="I1657" t="s">
        <v>20</v>
      </c>
      <c r="J1657">
        <v>4</v>
      </c>
      <c r="K1657" t="s">
        <v>4</v>
      </c>
      <c r="L1657" t="s">
        <v>18</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1742</v>
      </c>
      <c r="B1658" t="s">
        <v>11</v>
      </c>
      <c r="C1658">
        <v>6</v>
      </c>
      <c r="D1658">
        <v>99.4</v>
      </c>
      <c r="E1658">
        <v>596.40000000000009</v>
      </c>
      <c r="F1658" s="1">
        <v>45719</v>
      </c>
      <c r="G1658" s="1">
        <v>45722</v>
      </c>
      <c r="H1658" t="s">
        <v>8</v>
      </c>
      <c r="I1658" t="s">
        <v>3</v>
      </c>
      <c r="J1658">
        <v>5</v>
      </c>
      <c r="K1658" t="s">
        <v>4</v>
      </c>
      <c r="L1658" t="s">
        <v>18</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1743</v>
      </c>
      <c r="B1659" t="s">
        <v>52</v>
      </c>
      <c r="C1659">
        <v>1</v>
      </c>
      <c r="D1659">
        <v>38.700000000000003</v>
      </c>
      <c r="E1659">
        <v>38.700000000000003</v>
      </c>
      <c r="F1659" s="1">
        <v>45719</v>
      </c>
      <c r="G1659" s="1">
        <v>45720</v>
      </c>
      <c r="H1659" t="s">
        <v>12</v>
      </c>
      <c r="I1659" t="s">
        <v>25</v>
      </c>
      <c r="J1659">
        <v>4</v>
      </c>
      <c r="K1659" t="s">
        <v>4</v>
      </c>
      <c r="L1659" t="s">
        <v>173</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1744</v>
      </c>
      <c r="B1660" t="s">
        <v>17</v>
      </c>
      <c r="C1660">
        <v>2</v>
      </c>
      <c r="D1660">
        <v>35.5</v>
      </c>
      <c r="E1660">
        <v>71</v>
      </c>
      <c r="F1660" s="1">
        <v>45719</v>
      </c>
      <c r="G1660" s="1">
        <v>45722</v>
      </c>
      <c r="H1660" t="s">
        <v>8</v>
      </c>
      <c r="I1660" t="s">
        <v>3</v>
      </c>
      <c r="J1660">
        <v>5</v>
      </c>
      <c r="K1660" t="s">
        <v>4</v>
      </c>
      <c r="L1660" t="s">
        <v>173</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1745</v>
      </c>
      <c r="B1661" t="s">
        <v>11</v>
      </c>
      <c r="C1661">
        <v>4</v>
      </c>
      <c r="D1661">
        <v>93.3</v>
      </c>
      <c r="E1661">
        <v>373.2</v>
      </c>
      <c r="F1661" s="1">
        <v>45719</v>
      </c>
      <c r="G1661" s="1">
        <v>45722</v>
      </c>
      <c r="H1661" t="s">
        <v>12</v>
      </c>
      <c r="I1661" t="s">
        <v>3</v>
      </c>
      <c r="J1661">
        <v>5</v>
      </c>
      <c r="K1661" t="s">
        <v>4</v>
      </c>
      <c r="L1661" t="s">
        <v>40</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1746</v>
      </c>
      <c r="B1662" t="s">
        <v>113</v>
      </c>
      <c r="C1662">
        <v>1</v>
      </c>
      <c r="D1662">
        <v>31.4</v>
      </c>
      <c r="E1662">
        <v>31.4</v>
      </c>
      <c r="F1662" s="1">
        <v>45719</v>
      </c>
      <c r="G1662" s="1">
        <v>45724</v>
      </c>
      <c r="H1662" t="s">
        <v>12</v>
      </c>
      <c r="I1662" t="s">
        <v>25</v>
      </c>
      <c r="J1662">
        <v>5</v>
      </c>
      <c r="K1662" t="s">
        <v>4</v>
      </c>
      <c r="L1662" t="s">
        <v>40</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1747</v>
      </c>
      <c r="B1663" t="s">
        <v>7</v>
      </c>
      <c r="C1663">
        <v>1</v>
      </c>
      <c r="D1663">
        <v>85.9</v>
      </c>
      <c r="E1663">
        <v>85.9</v>
      </c>
      <c r="F1663" s="1">
        <v>45719</v>
      </c>
      <c r="G1663" s="1">
        <v>45722</v>
      </c>
      <c r="H1663" t="s">
        <v>8</v>
      </c>
      <c r="I1663" t="s">
        <v>20</v>
      </c>
      <c r="J1663">
        <v>4</v>
      </c>
      <c r="K1663" t="s">
        <v>4</v>
      </c>
      <c r="L1663" t="s">
        <v>40</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1748</v>
      </c>
      <c r="B1664" t="s">
        <v>24</v>
      </c>
      <c r="C1664">
        <v>8</v>
      </c>
      <c r="D1664">
        <v>41.7</v>
      </c>
      <c r="E1664">
        <v>333.6</v>
      </c>
      <c r="F1664" s="1">
        <v>45719</v>
      </c>
      <c r="G1664" s="1">
        <v>45727</v>
      </c>
      <c r="H1664" t="s">
        <v>8</v>
      </c>
      <c r="I1664" t="s">
        <v>3</v>
      </c>
      <c r="J1664">
        <v>5</v>
      </c>
      <c r="K1664" t="s">
        <v>4</v>
      </c>
      <c r="L1664" t="s">
        <v>44</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1749</v>
      </c>
      <c r="B1665" t="s">
        <v>29</v>
      </c>
      <c r="C1665">
        <v>4</v>
      </c>
      <c r="D1665">
        <v>31.5</v>
      </c>
      <c r="E1665">
        <v>126</v>
      </c>
      <c r="F1665" s="1">
        <v>45719</v>
      </c>
      <c r="G1665" s="1">
        <v>45720</v>
      </c>
      <c r="H1665" t="s">
        <v>12</v>
      </c>
      <c r="I1665" t="s">
        <v>3</v>
      </c>
      <c r="J1665">
        <v>4</v>
      </c>
      <c r="K1665" t="s">
        <v>4</v>
      </c>
      <c r="L1665" t="s">
        <v>44</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1750</v>
      </c>
      <c r="B1666" t="s">
        <v>29</v>
      </c>
      <c r="C1666">
        <v>2</v>
      </c>
      <c r="D1666">
        <v>36.299999999999997</v>
      </c>
      <c r="E1666">
        <v>72.599999999999994</v>
      </c>
      <c r="F1666" s="1">
        <v>45719</v>
      </c>
      <c r="G1666" s="1">
        <v>45720</v>
      </c>
      <c r="H1666" t="s">
        <v>12</v>
      </c>
      <c r="I1666" t="s">
        <v>3</v>
      </c>
      <c r="J1666">
        <v>2</v>
      </c>
      <c r="K1666" t="s">
        <v>4</v>
      </c>
      <c r="L1666" t="s">
        <v>47</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1751</v>
      </c>
      <c r="B1667" t="s">
        <v>29</v>
      </c>
      <c r="C1667">
        <v>3</v>
      </c>
      <c r="D1667">
        <v>33.4</v>
      </c>
      <c r="E1667">
        <v>100.19999999999999</v>
      </c>
      <c r="F1667" s="1">
        <v>45719</v>
      </c>
      <c r="G1667" s="1">
        <v>45720</v>
      </c>
      <c r="H1667" t="s">
        <v>12</v>
      </c>
      <c r="I1667" t="s">
        <v>36</v>
      </c>
      <c r="J1667">
        <v>4</v>
      </c>
      <c r="K1667" t="s">
        <v>4</v>
      </c>
      <c r="L1667" t="s">
        <v>88</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1752</v>
      </c>
      <c r="B1668" t="s">
        <v>11</v>
      </c>
      <c r="C1668">
        <v>3</v>
      </c>
      <c r="D1668">
        <v>65.2</v>
      </c>
      <c r="E1668">
        <v>195.60000000000002</v>
      </c>
      <c r="F1668" s="1">
        <v>45719</v>
      </c>
      <c r="G1668" s="1">
        <v>45720</v>
      </c>
      <c r="H1668" t="s">
        <v>12</v>
      </c>
      <c r="I1668" t="s">
        <v>25</v>
      </c>
      <c r="J1668">
        <v>5</v>
      </c>
      <c r="K1668" t="s">
        <v>4</v>
      </c>
      <c r="L1668" t="s">
        <v>186</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1753</v>
      </c>
      <c r="B1669" t="s">
        <v>29</v>
      </c>
      <c r="C1669">
        <v>9</v>
      </c>
      <c r="D1669">
        <v>65.5</v>
      </c>
      <c r="E1669">
        <v>589.5</v>
      </c>
      <c r="F1669" s="1">
        <v>45719</v>
      </c>
      <c r="G1669" s="1">
        <v>45722</v>
      </c>
      <c r="H1669" t="s">
        <v>12</v>
      </c>
      <c r="I1669" t="s">
        <v>3</v>
      </c>
      <c r="J1669">
        <v>5</v>
      </c>
      <c r="K1669" t="s">
        <v>4</v>
      </c>
      <c r="L1669" t="s">
        <v>57</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1754</v>
      </c>
      <c r="B1670" t="s">
        <v>24</v>
      </c>
      <c r="C1670">
        <v>3</v>
      </c>
      <c r="D1670">
        <v>52.8</v>
      </c>
      <c r="E1670">
        <v>158.39999999999998</v>
      </c>
      <c r="F1670" s="1">
        <v>45719</v>
      </c>
      <c r="G1670" s="1">
        <v>45722</v>
      </c>
      <c r="H1670" t="s">
        <v>8</v>
      </c>
      <c r="I1670" t="s">
        <v>25</v>
      </c>
      <c r="J1670">
        <v>4</v>
      </c>
      <c r="K1670" t="s">
        <v>4</v>
      </c>
      <c r="L1670" t="s">
        <v>57</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1755</v>
      </c>
      <c r="B1671" t="s">
        <v>31</v>
      </c>
      <c r="C1671">
        <v>5</v>
      </c>
      <c r="D1671">
        <v>24</v>
      </c>
      <c r="E1671">
        <v>120</v>
      </c>
      <c r="F1671" s="1">
        <v>45719</v>
      </c>
      <c r="G1671" s="1">
        <v>45723</v>
      </c>
      <c r="H1671" t="s">
        <v>8</v>
      </c>
      <c r="I1671" t="s">
        <v>3</v>
      </c>
      <c r="J1671">
        <v>3</v>
      </c>
      <c r="K1671" t="s">
        <v>4</v>
      </c>
      <c r="L1671" t="s">
        <v>62</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1756</v>
      </c>
      <c r="B1672" t="s">
        <v>15</v>
      </c>
      <c r="C1672">
        <v>3</v>
      </c>
      <c r="D1672">
        <v>51.2</v>
      </c>
      <c r="E1672">
        <v>153.60000000000002</v>
      </c>
      <c r="F1672" s="1">
        <v>45719</v>
      </c>
      <c r="G1672" s="1">
        <v>45720</v>
      </c>
      <c r="H1672" t="s">
        <v>12</v>
      </c>
      <c r="I1672" t="s">
        <v>3</v>
      </c>
      <c r="J1672">
        <v>4</v>
      </c>
      <c r="K1672" t="s">
        <v>4</v>
      </c>
      <c r="L1672" t="s">
        <v>294</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1757</v>
      </c>
      <c r="B1673" t="s">
        <v>22</v>
      </c>
      <c r="C1673">
        <v>3</v>
      </c>
      <c r="D1673">
        <v>28.3</v>
      </c>
      <c r="E1673">
        <v>84.9</v>
      </c>
      <c r="F1673" s="1">
        <v>45719</v>
      </c>
      <c r="G1673" s="1">
        <v>45721</v>
      </c>
      <c r="H1673" t="s">
        <v>8</v>
      </c>
      <c r="I1673" t="s">
        <v>55</v>
      </c>
      <c r="J1673">
        <v>4</v>
      </c>
      <c r="K1673" t="s">
        <v>4</v>
      </c>
      <c r="L1673" t="s">
        <v>95</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1758</v>
      </c>
      <c r="B1674" t="s">
        <v>24</v>
      </c>
      <c r="C1674">
        <v>3</v>
      </c>
      <c r="D1674">
        <v>42.3</v>
      </c>
      <c r="E1674">
        <v>126.89999999999999</v>
      </c>
      <c r="F1674" s="1">
        <v>45719</v>
      </c>
      <c r="G1674" s="1">
        <v>45719</v>
      </c>
      <c r="H1674" t="s">
        <v>12</v>
      </c>
      <c r="I1674" t="s">
        <v>25</v>
      </c>
      <c r="J1674">
        <v>3</v>
      </c>
      <c r="K1674" t="s">
        <v>4</v>
      </c>
      <c r="L1674" t="s">
        <v>95</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1759</v>
      </c>
      <c r="B1675" t="s">
        <v>11</v>
      </c>
      <c r="C1675">
        <v>8</v>
      </c>
      <c r="D1675">
        <v>163.30000000000001</v>
      </c>
      <c r="E1675">
        <v>1306.4000000000001</v>
      </c>
      <c r="F1675" s="1">
        <v>45720</v>
      </c>
      <c r="G1675" s="1">
        <v>45721</v>
      </c>
      <c r="H1675" t="s">
        <v>12</v>
      </c>
      <c r="I1675" t="s">
        <v>20</v>
      </c>
      <c r="J1675">
        <v>4</v>
      </c>
      <c r="K1675" t="s">
        <v>4</v>
      </c>
      <c r="L1675" t="s">
        <v>67</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1760</v>
      </c>
      <c r="B1676" t="s">
        <v>24</v>
      </c>
      <c r="C1676">
        <v>7</v>
      </c>
      <c r="D1676">
        <v>47.3</v>
      </c>
      <c r="E1676">
        <v>331.09999999999997</v>
      </c>
      <c r="F1676" s="1">
        <v>45720</v>
      </c>
      <c r="G1676" s="1">
        <v>45723</v>
      </c>
      <c r="H1676" t="s">
        <v>12</v>
      </c>
      <c r="I1676" t="s">
        <v>55</v>
      </c>
      <c r="J1676">
        <v>3</v>
      </c>
      <c r="K1676" t="s">
        <v>4</v>
      </c>
      <c r="L1676" t="s">
        <v>100</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1761</v>
      </c>
      <c r="B1677" t="s">
        <v>29</v>
      </c>
      <c r="C1677">
        <v>16</v>
      </c>
      <c r="D1677">
        <v>27.3</v>
      </c>
      <c r="E1677">
        <v>436.8</v>
      </c>
      <c r="F1677" s="1">
        <v>45720</v>
      </c>
      <c r="G1677" s="1">
        <v>45721</v>
      </c>
      <c r="H1677" t="s">
        <v>12</v>
      </c>
      <c r="I1677" t="s">
        <v>25</v>
      </c>
      <c r="J1677">
        <v>4</v>
      </c>
      <c r="K1677" t="s">
        <v>4</v>
      </c>
      <c r="L1677" t="s">
        <v>100</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1762</v>
      </c>
      <c r="B1678" t="s">
        <v>39</v>
      </c>
      <c r="C1678">
        <v>6</v>
      </c>
      <c r="D1678">
        <v>34.9</v>
      </c>
      <c r="E1678">
        <v>209.39999999999998</v>
      </c>
      <c r="F1678" s="1">
        <v>45720</v>
      </c>
      <c r="G1678" s="1">
        <v>45731</v>
      </c>
      <c r="H1678" t="s">
        <v>12</v>
      </c>
      <c r="I1678" t="s">
        <v>3</v>
      </c>
      <c r="J1678">
        <v>4</v>
      </c>
      <c r="K1678" t="s">
        <v>4</v>
      </c>
      <c r="L1678" t="s">
        <v>100</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1763</v>
      </c>
      <c r="B1679" t="s">
        <v>24</v>
      </c>
      <c r="C1679">
        <v>2</v>
      </c>
      <c r="D1679">
        <v>53.9</v>
      </c>
      <c r="E1679">
        <v>107.8</v>
      </c>
      <c r="F1679" s="1">
        <v>45720</v>
      </c>
      <c r="G1679" s="1">
        <v>45723</v>
      </c>
      <c r="H1679" t="s">
        <v>74</v>
      </c>
      <c r="I1679" t="s">
        <v>3</v>
      </c>
      <c r="J1679">
        <v>2</v>
      </c>
      <c r="K1679" t="s">
        <v>4</v>
      </c>
      <c r="L1679" t="s">
        <v>9</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1764</v>
      </c>
      <c r="B1680" t="s">
        <v>11</v>
      </c>
      <c r="C1680">
        <v>2</v>
      </c>
      <c r="D1680">
        <v>87.2</v>
      </c>
      <c r="E1680">
        <v>174.4</v>
      </c>
      <c r="F1680" s="1">
        <v>45720</v>
      </c>
      <c r="G1680" s="1">
        <v>45721</v>
      </c>
      <c r="H1680" t="s">
        <v>12</v>
      </c>
      <c r="I1680" t="s">
        <v>3</v>
      </c>
      <c r="J1680">
        <v>3</v>
      </c>
      <c r="K1680" t="s">
        <v>4</v>
      </c>
      <c r="L1680" t="s">
        <v>9</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1765</v>
      </c>
      <c r="B1681" t="s">
        <v>108</v>
      </c>
      <c r="C1681">
        <v>1</v>
      </c>
      <c r="D1681">
        <v>58.8</v>
      </c>
      <c r="E1681">
        <v>58.8</v>
      </c>
      <c r="F1681" s="1">
        <v>45720</v>
      </c>
      <c r="G1681" s="1">
        <v>45722</v>
      </c>
      <c r="H1681" t="s">
        <v>12</v>
      </c>
      <c r="I1681" t="s">
        <v>25</v>
      </c>
      <c r="J1681">
        <v>4</v>
      </c>
      <c r="K1681" t="s">
        <v>4</v>
      </c>
      <c r="L1681" t="s">
        <v>572</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1766</v>
      </c>
      <c r="B1682" t="s">
        <v>11</v>
      </c>
      <c r="C1682">
        <v>7</v>
      </c>
      <c r="D1682">
        <v>125.5</v>
      </c>
      <c r="E1682">
        <v>878.5</v>
      </c>
      <c r="F1682" s="1">
        <v>45720</v>
      </c>
      <c r="G1682" s="1">
        <v>45721</v>
      </c>
      <c r="H1682" t="s">
        <v>8</v>
      </c>
      <c r="I1682" t="s">
        <v>25</v>
      </c>
      <c r="J1682">
        <v>2</v>
      </c>
      <c r="K1682" t="s">
        <v>4</v>
      </c>
      <c r="L1682" t="s">
        <v>132</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1767</v>
      </c>
      <c r="B1683" t="s">
        <v>7</v>
      </c>
      <c r="C1683">
        <v>4</v>
      </c>
      <c r="D1683">
        <v>124.6</v>
      </c>
      <c r="E1683">
        <v>498.4</v>
      </c>
      <c r="F1683" s="1">
        <v>45720</v>
      </c>
      <c r="G1683" s="1">
        <v>45722</v>
      </c>
      <c r="H1683" t="s">
        <v>12</v>
      </c>
      <c r="I1683" t="s">
        <v>3</v>
      </c>
      <c r="J1683">
        <v>3</v>
      </c>
      <c r="K1683" t="s">
        <v>4</v>
      </c>
      <c r="L1683" t="s">
        <v>132</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1768</v>
      </c>
      <c r="B1684" t="s">
        <v>7</v>
      </c>
      <c r="C1684">
        <v>7</v>
      </c>
      <c r="D1684">
        <v>39.9</v>
      </c>
      <c r="E1684">
        <v>279.3</v>
      </c>
      <c r="F1684" s="1">
        <v>45720</v>
      </c>
      <c r="G1684" s="1">
        <v>45721</v>
      </c>
      <c r="H1684" t="s">
        <v>8</v>
      </c>
      <c r="I1684" t="s">
        <v>25</v>
      </c>
      <c r="J1684">
        <v>3</v>
      </c>
      <c r="K1684" t="s">
        <v>4</v>
      </c>
      <c r="L1684" t="s">
        <v>18</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1769</v>
      </c>
      <c r="B1685" t="s">
        <v>24</v>
      </c>
      <c r="C1685">
        <v>1</v>
      </c>
      <c r="D1685">
        <v>94.6</v>
      </c>
      <c r="E1685">
        <v>94.6</v>
      </c>
      <c r="F1685" s="1">
        <v>45720</v>
      </c>
      <c r="G1685" s="1">
        <v>45734</v>
      </c>
      <c r="H1685" t="s">
        <v>12</v>
      </c>
      <c r="I1685" t="s">
        <v>3</v>
      </c>
      <c r="J1685">
        <v>3</v>
      </c>
      <c r="K1685" t="s">
        <v>4</v>
      </c>
      <c r="L1685" t="s">
        <v>18</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1770</v>
      </c>
      <c r="B1686" t="s">
        <v>11</v>
      </c>
      <c r="C1686">
        <v>2</v>
      </c>
      <c r="D1686">
        <v>149.6</v>
      </c>
      <c r="E1686">
        <v>299.2</v>
      </c>
      <c r="F1686" s="1">
        <v>45720</v>
      </c>
      <c r="G1686" s="1">
        <v>45721</v>
      </c>
      <c r="H1686" t="s">
        <v>12</v>
      </c>
      <c r="I1686" t="s">
        <v>3</v>
      </c>
      <c r="J1686">
        <v>4</v>
      </c>
      <c r="K1686" t="s">
        <v>4</v>
      </c>
      <c r="L1686" t="s">
        <v>18</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1771</v>
      </c>
      <c r="B1687" t="s">
        <v>29</v>
      </c>
      <c r="C1687">
        <v>1</v>
      </c>
      <c r="D1687">
        <v>52.2</v>
      </c>
      <c r="E1687">
        <v>52.2</v>
      </c>
      <c r="F1687" s="1">
        <v>45720</v>
      </c>
      <c r="G1687" s="1">
        <v>45721</v>
      </c>
      <c r="H1687" t="s">
        <v>2</v>
      </c>
      <c r="I1687" t="s">
        <v>20</v>
      </c>
      <c r="J1687">
        <v>4</v>
      </c>
      <c r="K1687" t="s">
        <v>4</v>
      </c>
      <c r="L1687" t="s">
        <v>18</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1772</v>
      </c>
      <c r="B1688" t="s">
        <v>24</v>
      </c>
      <c r="C1688">
        <v>2</v>
      </c>
      <c r="D1688">
        <v>96.5</v>
      </c>
      <c r="E1688">
        <v>193</v>
      </c>
      <c r="F1688" s="1">
        <v>45720</v>
      </c>
      <c r="G1688" s="1">
        <v>45721</v>
      </c>
      <c r="H1688" t="s">
        <v>12</v>
      </c>
      <c r="I1688" t="s">
        <v>20</v>
      </c>
      <c r="J1688">
        <v>3</v>
      </c>
      <c r="K1688" t="s">
        <v>4</v>
      </c>
      <c r="L1688" t="s">
        <v>18</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1773</v>
      </c>
      <c r="B1689" t="s">
        <v>29</v>
      </c>
      <c r="C1689">
        <v>2</v>
      </c>
      <c r="D1689">
        <v>79.8</v>
      </c>
      <c r="E1689">
        <v>159.6</v>
      </c>
      <c r="F1689" s="1">
        <v>45720</v>
      </c>
      <c r="G1689" s="1">
        <v>45722</v>
      </c>
      <c r="H1689" t="s">
        <v>12</v>
      </c>
      <c r="I1689" t="s">
        <v>3</v>
      </c>
      <c r="J1689">
        <v>3</v>
      </c>
      <c r="K1689" t="s">
        <v>4</v>
      </c>
      <c r="L1689" t="s">
        <v>18</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1774</v>
      </c>
      <c r="B1690" t="s">
        <v>29</v>
      </c>
      <c r="C1690">
        <v>3</v>
      </c>
      <c r="D1690">
        <v>35.6</v>
      </c>
      <c r="E1690">
        <v>106.80000000000001</v>
      </c>
      <c r="F1690" s="1">
        <v>45720</v>
      </c>
      <c r="G1690" s="1">
        <v>45721</v>
      </c>
      <c r="H1690" t="s">
        <v>12</v>
      </c>
      <c r="I1690" t="s">
        <v>25</v>
      </c>
      <c r="J1690">
        <v>4</v>
      </c>
      <c r="K1690" t="s">
        <v>4</v>
      </c>
      <c r="L1690" t="s">
        <v>18</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1775</v>
      </c>
      <c r="B1691" t="s">
        <v>113</v>
      </c>
      <c r="C1691">
        <v>1</v>
      </c>
      <c r="D1691">
        <v>50.2</v>
      </c>
      <c r="E1691">
        <v>50.2</v>
      </c>
      <c r="F1691" s="1">
        <v>45720</v>
      </c>
      <c r="G1691" s="1">
        <v>45721</v>
      </c>
      <c r="H1691" t="s">
        <v>12</v>
      </c>
      <c r="I1691" t="s">
        <v>20</v>
      </c>
      <c r="J1691">
        <v>5</v>
      </c>
      <c r="K1691" t="s">
        <v>4</v>
      </c>
      <c r="L1691" t="s">
        <v>18</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1776</v>
      </c>
      <c r="B1692" t="s">
        <v>7</v>
      </c>
      <c r="C1692">
        <v>3</v>
      </c>
      <c r="D1692">
        <v>55.3</v>
      </c>
      <c r="E1692">
        <v>165.89999999999998</v>
      </c>
      <c r="F1692" s="1">
        <v>45720</v>
      </c>
      <c r="G1692" s="1">
        <v>45723</v>
      </c>
      <c r="H1692" t="s">
        <v>12</v>
      </c>
      <c r="I1692" t="s">
        <v>3</v>
      </c>
      <c r="J1692">
        <v>2</v>
      </c>
      <c r="K1692" t="s">
        <v>4</v>
      </c>
      <c r="L1692" t="s">
        <v>401</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1777</v>
      </c>
      <c r="B1693" t="s">
        <v>24</v>
      </c>
      <c r="C1693">
        <v>7</v>
      </c>
      <c r="D1693">
        <v>104.5</v>
      </c>
      <c r="E1693">
        <v>731.5</v>
      </c>
      <c r="F1693" s="1">
        <v>45720</v>
      </c>
      <c r="G1693" s="1">
        <v>45724</v>
      </c>
      <c r="H1693" t="s">
        <v>12</v>
      </c>
      <c r="I1693" t="s">
        <v>20</v>
      </c>
      <c r="J1693">
        <v>4</v>
      </c>
      <c r="K1693" t="s">
        <v>4</v>
      </c>
      <c r="L1693" t="s">
        <v>44</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1778</v>
      </c>
      <c r="B1694" t="s">
        <v>24</v>
      </c>
      <c r="C1694">
        <v>4</v>
      </c>
      <c r="D1694">
        <v>66.5</v>
      </c>
      <c r="E1694">
        <v>266</v>
      </c>
      <c r="F1694" s="1">
        <v>45720</v>
      </c>
      <c r="G1694" s="1">
        <v>45722</v>
      </c>
      <c r="H1694" t="s">
        <v>8</v>
      </c>
      <c r="I1694" t="s">
        <v>20</v>
      </c>
      <c r="J1694">
        <v>4</v>
      </c>
      <c r="K1694" t="s">
        <v>4</v>
      </c>
      <c r="L1694" t="s">
        <v>44</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1779</v>
      </c>
      <c r="B1695" t="s">
        <v>39</v>
      </c>
      <c r="C1695">
        <v>8</v>
      </c>
      <c r="D1695">
        <v>38.299999999999997</v>
      </c>
      <c r="E1695">
        <v>306.39999999999998</v>
      </c>
      <c r="F1695" s="1">
        <v>45720</v>
      </c>
      <c r="G1695" s="1">
        <v>45721</v>
      </c>
      <c r="H1695" t="s">
        <v>12</v>
      </c>
      <c r="I1695" t="s">
        <v>3</v>
      </c>
      <c r="J1695">
        <v>4</v>
      </c>
      <c r="K1695" t="s">
        <v>4</v>
      </c>
      <c r="L1695" t="s">
        <v>44</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1780</v>
      </c>
      <c r="B1696" t="s">
        <v>24</v>
      </c>
      <c r="C1696">
        <v>3</v>
      </c>
      <c r="D1696">
        <v>63.8</v>
      </c>
      <c r="E1696">
        <v>191.39999999999998</v>
      </c>
      <c r="F1696" s="1">
        <v>45720</v>
      </c>
      <c r="G1696" s="1">
        <v>45723</v>
      </c>
      <c r="H1696" t="s">
        <v>12</v>
      </c>
      <c r="I1696" t="s">
        <v>20</v>
      </c>
      <c r="J1696">
        <v>4</v>
      </c>
      <c r="K1696" t="s">
        <v>4</v>
      </c>
      <c r="L1696" t="s">
        <v>47</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1781</v>
      </c>
      <c r="B1697" t="s">
        <v>108</v>
      </c>
      <c r="C1697">
        <v>1</v>
      </c>
      <c r="D1697">
        <v>21.4</v>
      </c>
      <c r="E1697">
        <v>21.4</v>
      </c>
      <c r="F1697" s="1">
        <v>45720</v>
      </c>
      <c r="G1697" s="1">
        <v>45720</v>
      </c>
      <c r="H1697" t="s">
        <v>8</v>
      </c>
      <c r="I1697" t="s">
        <v>55</v>
      </c>
      <c r="J1697">
        <v>4</v>
      </c>
      <c r="K1697" t="s">
        <v>4</v>
      </c>
      <c r="L1697" t="s">
        <v>47</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1782</v>
      </c>
      <c r="B1698" t="s">
        <v>29</v>
      </c>
      <c r="C1698">
        <v>4</v>
      </c>
      <c r="D1698">
        <v>44.1</v>
      </c>
      <c r="E1698">
        <v>176.4</v>
      </c>
      <c r="F1698" s="1">
        <v>45720</v>
      </c>
      <c r="G1698" s="1">
        <v>45722</v>
      </c>
      <c r="H1698" t="s">
        <v>12</v>
      </c>
      <c r="I1698" t="s">
        <v>25</v>
      </c>
      <c r="J1698">
        <v>4</v>
      </c>
      <c r="K1698" t="s">
        <v>4</v>
      </c>
      <c r="L1698" t="s">
        <v>47</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1783</v>
      </c>
      <c r="B1699" t="s">
        <v>22</v>
      </c>
      <c r="C1699">
        <v>8</v>
      </c>
      <c r="D1699">
        <v>57.6</v>
      </c>
      <c r="E1699">
        <v>460.8</v>
      </c>
      <c r="F1699" s="1">
        <v>45720</v>
      </c>
      <c r="G1699" s="1">
        <v>45722</v>
      </c>
      <c r="H1699" t="s">
        <v>8</v>
      </c>
      <c r="I1699" t="s">
        <v>20</v>
      </c>
      <c r="J1699">
        <v>5</v>
      </c>
      <c r="K1699" t="s">
        <v>4</v>
      </c>
      <c r="L1699" t="s">
        <v>47</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1784</v>
      </c>
      <c r="B1700" t="s">
        <v>31</v>
      </c>
      <c r="C1700">
        <v>2</v>
      </c>
      <c r="D1700">
        <v>20.3</v>
      </c>
      <c r="E1700">
        <v>40.6</v>
      </c>
      <c r="F1700" s="1">
        <v>45720</v>
      </c>
      <c r="G1700" s="1">
        <v>45726</v>
      </c>
      <c r="H1700" t="s">
        <v>12</v>
      </c>
      <c r="I1700" t="s">
        <v>36</v>
      </c>
      <c r="J1700">
        <v>4</v>
      </c>
      <c r="K1700" t="s">
        <v>4</v>
      </c>
      <c r="L1700" t="s">
        <v>47</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1785</v>
      </c>
      <c r="B1701" t="s">
        <v>29</v>
      </c>
      <c r="C1701">
        <v>1</v>
      </c>
      <c r="D1701">
        <v>22.9</v>
      </c>
      <c r="E1701">
        <v>22.9</v>
      </c>
      <c r="F1701" s="1">
        <v>45720</v>
      </c>
      <c r="G1701" s="1">
        <v>45722</v>
      </c>
      <c r="H1701" t="s">
        <v>12</v>
      </c>
      <c r="I1701" t="s">
        <v>25</v>
      </c>
      <c r="J1701">
        <v>5</v>
      </c>
      <c r="K1701" t="s">
        <v>4</v>
      </c>
      <c r="L1701" t="s">
        <v>47</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1786</v>
      </c>
      <c r="B1702" t="s">
        <v>24</v>
      </c>
      <c r="C1702">
        <v>4</v>
      </c>
      <c r="D1702">
        <v>105.9</v>
      </c>
      <c r="E1702">
        <v>423.6</v>
      </c>
      <c r="F1702" s="1">
        <v>45720</v>
      </c>
      <c r="G1702" s="1">
        <v>45721</v>
      </c>
      <c r="H1702" t="s">
        <v>12</v>
      </c>
      <c r="I1702" t="s">
        <v>20</v>
      </c>
      <c r="J1702">
        <v>5</v>
      </c>
      <c r="K1702" t="s">
        <v>4</v>
      </c>
      <c r="L1702" t="s">
        <v>88</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1787</v>
      </c>
      <c r="B1703" t="s">
        <v>7</v>
      </c>
      <c r="C1703">
        <v>9</v>
      </c>
      <c r="D1703">
        <v>37.4</v>
      </c>
      <c r="E1703">
        <v>336.59999999999997</v>
      </c>
      <c r="F1703" s="1">
        <v>45720</v>
      </c>
      <c r="G1703" s="1">
        <v>45724</v>
      </c>
      <c r="H1703" t="s">
        <v>8</v>
      </c>
      <c r="I1703" t="s">
        <v>20</v>
      </c>
      <c r="J1703">
        <v>4</v>
      </c>
      <c r="K1703" t="s">
        <v>4</v>
      </c>
      <c r="L1703" t="s">
        <v>62</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1788</v>
      </c>
      <c r="B1704" t="s">
        <v>131</v>
      </c>
      <c r="C1704">
        <v>2</v>
      </c>
      <c r="D1704">
        <v>79</v>
      </c>
      <c r="E1704">
        <v>158</v>
      </c>
      <c r="F1704" s="1">
        <v>45720</v>
      </c>
      <c r="G1704" s="1">
        <v>45721</v>
      </c>
      <c r="H1704" t="s">
        <v>8</v>
      </c>
      <c r="I1704" t="s">
        <v>25</v>
      </c>
      <c r="J1704">
        <v>4</v>
      </c>
      <c r="K1704" t="s">
        <v>4</v>
      </c>
      <c r="L1704" t="s">
        <v>228</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1789</v>
      </c>
      <c r="B1705" t="s">
        <v>1</v>
      </c>
      <c r="C1705">
        <v>3</v>
      </c>
      <c r="D1705">
        <v>19.3</v>
      </c>
      <c r="E1705">
        <v>57.900000000000006</v>
      </c>
      <c r="F1705" s="1">
        <v>45720</v>
      </c>
      <c r="G1705" s="1">
        <v>45721</v>
      </c>
      <c r="H1705" t="s">
        <v>12</v>
      </c>
      <c r="I1705" t="s">
        <v>55</v>
      </c>
      <c r="J1705">
        <v>4</v>
      </c>
      <c r="K1705" t="s">
        <v>4</v>
      </c>
      <c r="L1705" t="s">
        <v>100</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1790</v>
      </c>
      <c r="B1706" t="s">
        <v>1</v>
      </c>
      <c r="C1706">
        <v>1</v>
      </c>
      <c r="D1706">
        <v>24</v>
      </c>
      <c r="E1706">
        <v>24</v>
      </c>
      <c r="F1706" s="1">
        <v>45720</v>
      </c>
      <c r="G1706" s="1">
        <v>45721</v>
      </c>
      <c r="H1706" t="s">
        <v>12</v>
      </c>
      <c r="I1706" t="s">
        <v>20</v>
      </c>
      <c r="J1706">
        <v>4</v>
      </c>
      <c r="K1706" t="s">
        <v>4</v>
      </c>
      <c r="L1706" t="s">
        <v>9</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1791</v>
      </c>
      <c r="B1707" t="s">
        <v>24</v>
      </c>
      <c r="C1707">
        <v>5</v>
      </c>
      <c r="D1707">
        <v>71.3</v>
      </c>
      <c r="E1707">
        <v>356.5</v>
      </c>
      <c r="F1707" s="1">
        <v>45720</v>
      </c>
      <c r="G1707" s="1">
        <v>45723</v>
      </c>
      <c r="H1707" t="s">
        <v>12</v>
      </c>
      <c r="I1707" t="s">
        <v>25</v>
      </c>
      <c r="J1707">
        <v>4</v>
      </c>
      <c r="K1707" t="s">
        <v>4</v>
      </c>
      <c r="L1707" t="s">
        <v>13</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1792</v>
      </c>
      <c r="B1708" t="s">
        <v>22</v>
      </c>
      <c r="C1708">
        <v>2</v>
      </c>
      <c r="D1708">
        <v>166.2</v>
      </c>
      <c r="E1708">
        <v>332.4</v>
      </c>
      <c r="F1708" s="1">
        <v>45720</v>
      </c>
      <c r="G1708" s="1">
        <v>45721</v>
      </c>
      <c r="H1708" t="s">
        <v>8</v>
      </c>
      <c r="I1708" t="s">
        <v>3</v>
      </c>
      <c r="J1708">
        <v>5</v>
      </c>
      <c r="K1708" t="s">
        <v>4</v>
      </c>
      <c r="L1708" t="s">
        <v>934</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1793</v>
      </c>
      <c r="B1709" t="s">
        <v>24</v>
      </c>
      <c r="C1709">
        <v>1</v>
      </c>
      <c r="D1709">
        <v>81</v>
      </c>
      <c r="E1709">
        <v>81</v>
      </c>
      <c r="F1709" s="1">
        <v>45720</v>
      </c>
      <c r="G1709" s="1">
        <v>45721</v>
      </c>
      <c r="H1709" t="s">
        <v>12</v>
      </c>
      <c r="I1709" t="s">
        <v>25</v>
      </c>
      <c r="J1709">
        <v>3</v>
      </c>
      <c r="K1709" t="s">
        <v>4</v>
      </c>
      <c r="L1709" t="s">
        <v>18</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1794</v>
      </c>
      <c r="B1710" t="s">
        <v>39</v>
      </c>
      <c r="C1710">
        <v>6</v>
      </c>
      <c r="D1710">
        <v>38.5</v>
      </c>
      <c r="E1710">
        <v>231</v>
      </c>
      <c r="F1710" s="1">
        <v>45720</v>
      </c>
      <c r="G1710" s="1">
        <v>45724</v>
      </c>
      <c r="H1710" t="s">
        <v>12</v>
      </c>
      <c r="I1710" t="s">
        <v>3</v>
      </c>
      <c r="J1710">
        <v>4</v>
      </c>
      <c r="K1710" t="s">
        <v>4</v>
      </c>
      <c r="L1710" t="s">
        <v>18</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1795</v>
      </c>
      <c r="B1711" t="s">
        <v>24</v>
      </c>
      <c r="C1711">
        <v>1</v>
      </c>
      <c r="D1711">
        <v>86.1</v>
      </c>
      <c r="E1711">
        <v>86.1</v>
      </c>
      <c r="F1711" s="1">
        <v>45720</v>
      </c>
      <c r="G1711" s="1">
        <v>45722</v>
      </c>
      <c r="H1711" t="s">
        <v>12</v>
      </c>
      <c r="I1711" t="s">
        <v>36</v>
      </c>
      <c r="J1711">
        <v>4</v>
      </c>
      <c r="K1711" t="s">
        <v>4</v>
      </c>
      <c r="L1711" t="s">
        <v>18</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1796</v>
      </c>
      <c r="B1712" t="s">
        <v>11</v>
      </c>
      <c r="C1712">
        <v>5</v>
      </c>
      <c r="D1712">
        <v>51</v>
      </c>
      <c r="E1712">
        <v>255</v>
      </c>
      <c r="F1712" s="1">
        <v>45720</v>
      </c>
      <c r="G1712" s="1">
        <v>45721</v>
      </c>
      <c r="H1712" t="s">
        <v>8</v>
      </c>
      <c r="I1712" t="s">
        <v>3</v>
      </c>
      <c r="J1712">
        <v>3</v>
      </c>
      <c r="K1712" t="s">
        <v>4</v>
      </c>
      <c r="L1712" t="s">
        <v>18</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1797</v>
      </c>
      <c r="B1713" t="s">
        <v>15</v>
      </c>
      <c r="C1713">
        <v>5</v>
      </c>
      <c r="D1713">
        <v>115.4</v>
      </c>
      <c r="E1713">
        <v>577</v>
      </c>
      <c r="F1713" s="1">
        <v>45720</v>
      </c>
      <c r="G1713" s="1">
        <v>45721</v>
      </c>
      <c r="H1713" t="s">
        <v>8</v>
      </c>
      <c r="I1713" t="s">
        <v>3</v>
      </c>
      <c r="J1713">
        <v>4</v>
      </c>
      <c r="K1713" t="s">
        <v>4</v>
      </c>
      <c r="L1713" t="s">
        <v>18</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1798</v>
      </c>
      <c r="B1714" t="s">
        <v>24</v>
      </c>
      <c r="C1714">
        <v>4</v>
      </c>
      <c r="D1714">
        <v>176.5</v>
      </c>
      <c r="E1714">
        <v>706</v>
      </c>
      <c r="F1714" s="1">
        <v>45720</v>
      </c>
      <c r="G1714" s="1">
        <v>45721</v>
      </c>
      <c r="H1714" t="s">
        <v>12</v>
      </c>
      <c r="I1714" t="s">
        <v>25</v>
      </c>
      <c r="J1714">
        <v>5</v>
      </c>
      <c r="K1714" t="s">
        <v>4</v>
      </c>
      <c r="L1714" t="s">
        <v>18</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1799</v>
      </c>
      <c r="B1715" t="s">
        <v>27</v>
      </c>
      <c r="C1715">
        <v>3</v>
      </c>
      <c r="D1715">
        <v>48.9</v>
      </c>
      <c r="E1715">
        <v>146.69999999999999</v>
      </c>
      <c r="F1715" s="1">
        <v>45720</v>
      </c>
      <c r="G1715" s="1">
        <v>45721</v>
      </c>
      <c r="H1715" t="s">
        <v>8</v>
      </c>
      <c r="I1715" t="s">
        <v>55</v>
      </c>
      <c r="J1715">
        <v>4</v>
      </c>
      <c r="K1715" t="s">
        <v>4</v>
      </c>
      <c r="L1715" t="s">
        <v>18</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1800</v>
      </c>
      <c r="B1716" t="s">
        <v>29</v>
      </c>
      <c r="C1716">
        <v>3</v>
      </c>
      <c r="D1716">
        <v>18.100000000000001</v>
      </c>
      <c r="E1716">
        <v>54.300000000000004</v>
      </c>
      <c r="F1716" s="1">
        <v>45720</v>
      </c>
      <c r="G1716" s="1">
        <v>45727</v>
      </c>
      <c r="H1716" t="s">
        <v>12</v>
      </c>
      <c r="I1716" t="s">
        <v>20</v>
      </c>
      <c r="J1716">
        <v>5</v>
      </c>
      <c r="K1716" t="s">
        <v>4</v>
      </c>
      <c r="L1716" t="s">
        <v>243</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1801</v>
      </c>
      <c r="B1717" t="s">
        <v>11</v>
      </c>
      <c r="C1717">
        <v>2</v>
      </c>
      <c r="D1717">
        <v>118.5</v>
      </c>
      <c r="E1717">
        <v>237</v>
      </c>
      <c r="F1717" s="1">
        <v>45720</v>
      </c>
      <c r="G1717" s="1">
        <v>45723</v>
      </c>
      <c r="H1717" t="s">
        <v>8</v>
      </c>
      <c r="I1717" t="s">
        <v>20</v>
      </c>
      <c r="J1717">
        <v>5</v>
      </c>
      <c r="K1717" t="s">
        <v>4</v>
      </c>
      <c r="L1717" t="s">
        <v>83</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1802</v>
      </c>
      <c r="B1718" t="s">
        <v>108</v>
      </c>
      <c r="C1718">
        <v>7</v>
      </c>
      <c r="D1718">
        <v>59.1</v>
      </c>
      <c r="E1718">
        <v>413.7</v>
      </c>
      <c r="F1718" s="1">
        <v>45720</v>
      </c>
      <c r="G1718" s="1">
        <v>45721</v>
      </c>
      <c r="H1718" t="s">
        <v>12</v>
      </c>
      <c r="I1718" t="s">
        <v>36</v>
      </c>
      <c r="J1718">
        <v>4</v>
      </c>
      <c r="K1718" t="s">
        <v>4</v>
      </c>
      <c r="L1718" t="s">
        <v>173</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1803</v>
      </c>
      <c r="B1719" t="s">
        <v>17</v>
      </c>
      <c r="C1719">
        <v>1</v>
      </c>
      <c r="D1719">
        <v>21.2</v>
      </c>
      <c r="E1719">
        <v>21.2</v>
      </c>
      <c r="F1719" s="1">
        <v>45720</v>
      </c>
      <c r="G1719" s="1">
        <v>45721</v>
      </c>
      <c r="H1719" t="s">
        <v>12</v>
      </c>
      <c r="I1719" t="s">
        <v>3</v>
      </c>
      <c r="J1719">
        <v>3</v>
      </c>
      <c r="K1719" t="s">
        <v>4</v>
      </c>
      <c r="L1719" t="s">
        <v>40</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1804</v>
      </c>
      <c r="B1720" t="s">
        <v>24</v>
      </c>
      <c r="C1720">
        <v>2</v>
      </c>
      <c r="D1720">
        <v>68.8</v>
      </c>
      <c r="E1720">
        <v>137.6</v>
      </c>
      <c r="F1720" s="1">
        <v>45720</v>
      </c>
      <c r="G1720" s="1">
        <v>45725</v>
      </c>
      <c r="H1720" t="s">
        <v>12</v>
      </c>
      <c r="I1720" t="s">
        <v>36</v>
      </c>
      <c r="J1720">
        <v>5</v>
      </c>
      <c r="K1720" t="s">
        <v>4</v>
      </c>
      <c r="L1720" t="s">
        <v>40</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1805</v>
      </c>
      <c r="B1721" t="s">
        <v>24</v>
      </c>
      <c r="C1721">
        <v>2</v>
      </c>
      <c r="D1721">
        <v>65.400000000000006</v>
      </c>
      <c r="E1721">
        <v>130.80000000000001</v>
      </c>
      <c r="F1721" s="1">
        <v>45720</v>
      </c>
      <c r="G1721" s="1">
        <v>45724</v>
      </c>
      <c r="H1721" t="s">
        <v>12</v>
      </c>
      <c r="I1721" t="s">
        <v>3</v>
      </c>
      <c r="J1721">
        <v>4</v>
      </c>
      <c r="K1721" t="s">
        <v>4</v>
      </c>
      <c r="L1721" t="s">
        <v>40</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1806</v>
      </c>
      <c r="B1722" t="s">
        <v>54</v>
      </c>
      <c r="C1722">
        <v>5</v>
      </c>
      <c r="D1722">
        <v>66.3</v>
      </c>
      <c r="E1722">
        <v>331.5</v>
      </c>
      <c r="F1722" s="1">
        <v>45721</v>
      </c>
      <c r="G1722" s="1">
        <v>45724</v>
      </c>
      <c r="H1722" t="s">
        <v>12</v>
      </c>
      <c r="I1722" t="s">
        <v>55</v>
      </c>
      <c r="J1722">
        <v>4</v>
      </c>
      <c r="K1722" t="s">
        <v>4</v>
      </c>
      <c r="L1722" t="s">
        <v>40</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1807</v>
      </c>
      <c r="B1723" t="s">
        <v>24</v>
      </c>
      <c r="C1723">
        <v>3</v>
      </c>
      <c r="D1723">
        <v>97.5</v>
      </c>
      <c r="E1723">
        <v>292.5</v>
      </c>
      <c r="F1723" s="1">
        <v>45721</v>
      </c>
      <c r="G1723" s="1">
        <v>45721</v>
      </c>
      <c r="H1723" t="s">
        <v>8</v>
      </c>
      <c r="I1723" t="s">
        <v>36</v>
      </c>
      <c r="J1723">
        <v>4</v>
      </c>
      <c r="K1723" t="s">
        <v>4</v>
      </c>
      <c r="L1723" t="s">
        <v>47</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1808</v>
      </c>
      <c r="B1724" t="s">
        <v>7</v>
      </c>
      <c r="C1724">
        <v>2</v>
      </c>
      <c r="D1724">
        <v>44</v>
      </c>
      <c r="E1724">
        <v>88</v>
      </c>
      <c r="F1724" s="1">
        <v>45721</v>
      </c>
      <c r="G1724" s="1">
        <v>45724</v>
      </c>
      <c r="H1724" t="s">
        <v>12</v>
      </c>
      <c r="I1724" t="s">
        <v>20</v>
      </c>
      <c r="J1724">
        <v>5</v>
      </c>
      <c r="K1724" t="s">
        <v>4</v>
      </c>
      <c r="L1724" t="s">
        <v>47</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1809</v>
      </c>
      <c r="B1725" t="s">
        <v>1</v>
      </c>
      <c r="C1725">
        <v>1</v>
      </c>
      <c r="D1725">
        <v>21.9</v>
      </c>
      <c r="E1725">
        <v>21.9</v>
      </c>
      <c r="F1725" s="1">
        <v>45721</v>
      </c>
      <c r="G1725" s="1">
        <v>45722</v>
      </c>
      <c r="H1725" t="s">
        <v>8</v>
      </c>
      <c r="I1725" t="s">
        <v>3</v>
      </c>
      <c r="J1725">
        <v>4</v>
      </c>
      <c r="K1725" t="s">
        <v>4</v>
      </c>
      <c r="L1725" t="s">
        <v>47</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1810</v>
      </c>
      <c r="B1726" t="s">
        <v>17</v>
      </c>
      <c r="C1726">
        <v>7</v>
      </c>
      <c r="D1726">
        <v>21.5</v>
      </c>
      <c r="E1726">
        <v>150.5</v>
      </c>
      <c r="F1726" s="1">
        <v>45721</v>
      </c>
      <c r="G1726" s="1">
        <v>45723</v>
      </c>
      <c r="H1726" t="s">
        <v>12</v>
      </c>
      <c r="I1726" t="s">
        <v>20</v>
      </c>
      <c r="J1726">
        <v>5</v>
      </c>
      <c r="K1726" t="s">
        <v>4</v>
      </c>
      <c r="L1726" t="s">
        <v>57</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1811</v>
      </c>
      <c r="B1727" t="s">
        <v>54</v>
      </c>
      <c r="C1727">
        <v>6</v>
      </c>
      <c r="D1727">
        <v>133</v>
      </c>
      <c r="E1727">
        <v>798</v>
      </c>
      <c r="F1727" s="1">
        <v>45721</v>
      </c>
      <c r="G1727" s="1">
        <v>45722</v>
      </c>
      <c r="H1727" t="s">
        <v>74</v>
      </c>
      <c r="I1727" t="s">
        <v>3</v>
      </c>
      <c r="J1727">
        <v>5</v>
      </c>
      <c r="K1727" t="s">
        <v>4</v>
      </c>
      <c r="L1727" t="s">
        <v>59</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1812</v>
      </c>
      <c r="B1728" t="s">
        <v>29</v>
      </c>
      <c r="C1728">
        <v>2</v>
      </c>
      <c r="D1728">
        <v>47.7</v>
      </c>
      <c r="E1728">
        <v>95.4</v>
      </c>
      <c r="F1728" s="1">
        <v>45721</v>
      </c>
      <c r="G1728" s="1">
        <v>45725</v>
      </c>
      <c r="H1728" t="s">
        <v>8</v>
      </c>
      <c r="I1728" t="s">
        <v>3</v>
      </c>
      <c r="J1728">
        <v>5</v>
      </c>
      <c r="K1728" t="s">
        <v>4</v>
      </c>
      <c r="L1728" t="s">
        <v>59</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1813</v>
      </c>
      <c r="B1729" t="s">
        <v>113</v>
      </c>
      <c r="C1729">
        <v>3</v>
      </c>
      <c r="D1729">
        <v>58.1</v>
      </c>
      <c r="E1729">
        <v>174.3</v>
      </c>
      <c r="F1729" s="1">
        <v>45721</v>
      </c>
      <c r="G1729" s="1">
        <v>45722</v>
      </c>
      <c r="H1729" t="s">
        <v>12</v>
      </c>
      <c r="I1729" t="s">
        <v>3</v>
      </c>
      <c r="J1729">
        <v>4</v>
      </c>
      <c r="K1729" t="s">
        <v>4</v>
      </c>
      <c r="L1729" t="s">
        <v>62</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1814</v>
      </c>
      <c r="B1730" t="s">
        <v>54</v>
      </c>
      <c r="C1730">
        <v>4</v>
      </c>
      <c r="D1730">
        <v>66.599999999999994</v>
      </c>
      <c r="E1730">
        <v>266.39999999999998</v>
      </c>
      <c r="F1730" s="1">
        <v>45721</v>
      </c>
      <c r="G1730" s="1">
        <v>45722</v>
      </c>
      <c r="H1730" t="s">
        <v>2</v>
      </c>
      <c r="I1730" t="s">
        <v>3</v>
      </c>
      <c r="J1730">
        <v>4</v>
      </c>
      <c r="K1730" t="s">
        <v>4</v>
      </c>
      <c r="L1730" t="s">
        <v>62</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1815</v>
      </c>
      <c r="B1731" t="s">
        <v>31</v>
      </c>
      <c r="C1731">
        <v>1</v>
      </c>
      <c r="D1731">
        <v>24.1</v>
      </c>
      <c r="E1731">
        <v>24.1</v>
      </c>
      <c r="F1731" s="1">
        <v>45721</v>
      </c>
      <c r="G1731" s="1">
        <v>45724</v>
      </c>
      <c r="H1731" t="s">
        <v>8</v>
      </c>
      <c r="I1731" t="s">
        <v>25</v>
      </c>
      <c r="J1731">
        <v>3</v>
      </c>
      <c r="K1731" t="s">
        <v>4</v>
      </c>
      <c r="L1731" t="s">
        <v>95</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1816</v>
      </c>
      <c r="B1732" t="s">
        <v>39</v>
      </c>
      <c r="C1732">
        <v>5</v>
      </c>
      <c r="D1732">
        <v>51.5</v>
      </c>
      <c r="E1732">
        <v>257.5</v>
      </c>
      <c r="F1732" s="1">
        <v>45721</v>
      </c>
      <c r="G1732" s="1">
        <v>45726</v>
      </c>
      <c r="H1732" t="s">
        <v>12</v>
      </c>
      <c r="I1732" t="s">
        <v>3</v>
      </c>
      <c r="J1732">
        <v>4</v>
      </c>
      <c r="K1732" t="s">
        <v>4</v>
      </c>
      <c r="L1732" t="s">
        <v>67</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1817</v>
      </c>
      <c r="B1733" t="s">
        <v>1</v>
      </c>
      <c r="C1733">
        <v>11</v>
      </c>
      <c r="D1733">
        <v>25.8</v>
      </c>
      <c r="E1733">
        <v>283.8</v>
      </c>
      <c r="F1733" s="1">
        <v>45721</v>
      </c>
      <c r="G1733" s="1">
        <v>45725</v>
      </c>
      <c r="H1733" t="s">
        <v>12</v>
      </c>
      <c r="I1733" t="s">
        <v>36</v>
      </c>
      <c r="J1733">
        <v>2</v>
      </c>
      <c r="K1733" t="s">
        <v>4</v>
      </c>
      <c r="L1733" t="s">
        <v>100</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1818</v>
      </c>
      <c r="B1734" t="s">
        <v>31</v>
      </c>
      <c r="C1734">
        <v>4</v>
      </c>
      <c r="D1734">
        <v>47.7</v>
      </c>
      <c r="E1734">
        <v>190.8</v>
      </c>
      <c r="F1734" s="1">
        <v>45721</v>
      </c>
      <c r="G1734" s="1">
        <v>45721</v>
      </c>
      <c r="H1734" t="s">
        <v>12</v>
      </c>
      <c r="I1734" t="s">
        <v>3</v>
      </c>
      <c r="J1734">
        <v>3</v>
      </c>
      <c r="K1734" t="s">
        <v>4</v>
      </c>
      <c r="L1734" t="s">
        <v>100</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1819</v>
      </c>
      <c r="B1735" t="s">
        <v>27</v>
      </c>
      <c r="C1735">
        <v>5</v>
      </c>
      <c r="D1735">
        <v>73.599999999999994</v>
      </c>
      <c r="E1735">
        <v>368</v>
      </c>
      <c r="F1735" s="1">
        <v>45721</v>
      </c>
      <c r="G1735" s="1">
        <v>45725</v>
      </c>
      <c r="H1735" t="s">
        <v>8</v>
      </c>
      <c r="I1735" t="s">
        <v>20</v>
      </c>
      <c r="J1735">
        <v>4</v>
      </c>
      <c r="K1735" t="s">
        <v>4</v>
      </c>
      <c r="L1735" t="s">
        <v>100</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1820</v>
      </c>
      <c r="B1736" t="s">
        <v>22</v>
      </c>
      <c r="C1736">
        <v>7</v>
      </c>
      <c r="D1736">
        <v>91.2</v>
      </c>
      <c r="E1736">
        <v>638.4</v>
      </c>
      <c r="F1736" s="1">
        <v>45721</v>
      </c>
      <c r="G1736" s="1">
        <v>45722</v>
      </c>
      <c r="H1736" t="s">
        <v>8</v>
      </c>
      <c r="I1736" t="s">
        <v>20</v>
      </c>
      <c r="J1736">
        <v>5</v>
      </c>
      <c r="K1736" t="s">
        <v>4</v>
      </c>
      <c r="L1736" t="s">
        <v>100</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1821</v>
      </c>
      <c r="B1737" t="s">
        <v>7</v>
      </c>
      <c r="C1737">
        <v>8</v>
      </c>
      <c r="D1737">
        <v>36.200000000000003</v>
      </c>
      <c r="E1737">
        <v>289.60000000000002</v>
      </c>
      <c r="F1737" s="1">
        <v>45721</v>
      </c>
      <c r="G1737" s="1">
        <v>45721</v>
      </c>
      <c r="H1737" t="s">
        <v>8</v>
      </c>
      <c r="I1737" t="s">
        <v>25</v>
      </c>
      <c r="J1737">
        <v>5</v>
      </c>
      <c r="K1737" t="s">
        <v>4</v>
      </c>
      <c r="L1737" t="s">
        <v>9</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1822</v>
      </c>
      <c r="B1738" t="s">
        <v>31</v>
      </c>
      <c r="C1738">
        <v>8</v>
      </c>
      <c r="D1738">
        <v>98</v>
      </c>
      <c r="E1738">
        <v>784</v>
      </c>
      <c r="F1738" s="1">
        <v>45721</v>
      </c>
      <c r="G1738" s="1">
        <v>45725</v>
      </c>
      <c r="H1738" t="s">
        <v>12</v>
      </c>
      <c r="I1738" t="s">
        <v>25</v>
      </c>
      <c r="J1738">
        <v>4</v>
      </c>
      <c r="K1738" t="s">
        <v>4</v>
      </c>
      <c r="L1738" t="s">
        <v>13</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1823</v>
      </c>
      <c r="B1739" t="s">
        <v>7</v>
      </c>
      <c r="C1739">
        <v>8</v>
      </c>
      <c r="D1739">
        <v>43.6</v>
      </c>
      <c r="E1739">
        <v>348.8</v>
      </c>
      <c r="F1739" s="1">
        <v>45721</v>
      </c>
      <c r="G1739" s="1">
        <v>45722</v>
      </c>
      <c r="H1739" t="s">
        <v>12</v>
      </c>
      <c r="I1739" t="s">
        <v>25</v>
      </c>
      <c r="J1739">
        <v>4</v>
      </c>
      <c r="K1739" t="s">
        <v>4</v>
      </c>
      <c r="L1739" t="s">
        <v>132</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1824</v>
      </c>
      <c r="B1740" t="s">
        <v>29</v>
      </c>
      <c r="C1740">
        <v>10</v>
      </c>
      <c r="D1740">
        <v>37.799999999999997</v>
      </c>
      <c r="E1740">
        <v>378</v>
      </c>
      <c r="F1740" s="1">
        <v>45721</v>
      </c>
      <c r="G1740" s="1">
        <v>45721</v>
      </c>
      <c r="H1740" t="s">
        <v>74</v>
      </c>
      <c r="I1740" t="s">
        <v>3</v>
      </c>
      <c r="J1740">
        <v>4</v>
      </c>
      <c r="K1740" t="s">
        <v>4</v>
      </c>
      <c r="L1740" t="s">
        <v>934</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1825</v>
      </c>
      <c r="B1741" t="s">
        <v>120</v>
      </c>
      <c r="C1741">
        <v>5</v>
      </c>
      <c r="D1741">
        <v>63.7</v>
      </c>
      <c r="E1741">
        <v>318.5</v>
      </c>
      <c r="F1741" s="1">
        <v>45721</v>
      </c>
      <c r="G1741" s="1">
        <v>45724</v>
      </c>
      <c r="H1741" t="s">
        <v>12</v>
      </c>
      <c r="I1741" t="s">
        <v>25</v>
      </c>
      <c r="J1741">
        <v>3</v>
      </c>
      <c r="K1741" t="s">
        <v>4</v>
      </c>
      <c r="L1741" t="s">
        <v>18</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1826</v>
      </c>
      <c r="B1742" t="s">
        <v>22</v>
      </c>
      <c r="C1742">
        <v>9</v>
      </c>
      <c r="D1742">
        <v>62.9</v>
      </c>
      <c r="E1742">
        <v>566.1</v>
      </c>
      <c r="F1742" s="1">
        <v>45721</v>
      </c>
      <c r="G1742" s="1">
        <v>45726</v>
      </c>
      <c r="H1742" t="s">
        <v>8</v>
      </c>
      <c r="I1742" t="s">
        <v>36</v>
      </c>
      <c r="J1742">
        <v>5</v>
      </c>
      <c r="K1742" t="s">
        <v>4</v>
      </c>
      <c r="L1742" t="s">
        <v>18</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1827</v>
      </c>
      <c r="B1743" t="s">
        <v>24</v>
      </c>
      <c r="C1743">
        <v>7</v>
      </c>
      <c r="D1743">
        <v>61.7</v>
      </c>
      <c r="E1743">
        <v>431.90000000000003</v>
      </c>
      <c r="F1743" s="1">
        <v>45721</v>
      </c>
      <c r="G1743" s="1">
        <v>45724</v>
      </c>
      <c r="H1743" t="s">
        <v>12</v>
      </c>
      <c r="I1743" t="s">
        <v>25</v>
      </c>
      <c r="J1743">
        <v>5</v>
      </c>
      <c r="K1743" t="s">
        <v>4</v>
      </c>
      <c r="L1743" t="s">
        <v>18</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1828</v>
      </c>
      <c r="B1744" t="s">
        <v>131</v>
      </c>
      <c r="C1744">
        <v>14</v>
      </c>
      <c r="D1744">
        <v>36.5</v>
      </c>
      <c r="E1744">
        <v>511</v>
      </c>
      <c r="F1744" s="1">
        <v>45721</v>
      </c>
      <c r="G1744" s="1">
        <v>45722</v>
      </c>
      <c r="H1744" t="s">
        <v>8</v>
      </c>
      <c r="I1744" t="s">
        <v>3</v>
      </c>
      <c r="J1744">
        <v>5</v>
      </c>
      <c r="K1744" t="s">
        <v>4</v>
      </c>
      <c r="L1744" t="s">
        <v>18</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1829</v>
      </c>
      <c r="B1745" t="s">
        <v>52</v>
      </c>
      <c r="C1745">
        <v>3</v>
      </c>
      <c r="D1745">
        <v>98.6</v>
      </c>
      <c r="E1745">
        <v>295.79999999999995</v>
      </c>
      <c r="F1745" s="1">
        <v>45721</v>
      </c>
      <c r="G1745" s="1">
        <v>45724</v>
      </c>
      <c r="H1745" t="s">
        <v>74</v>
      </c>
      <c r="I1745" t="s">
        <v>3</v>
      </c>
      <c r="J1745">
        <v>2</v>
      </c>
      <c r="K1745" t="s">
        <v>4</v>
      </c>
      <c r="L1745" t="s">
        <v>18</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1830</v>
      </c>
      <c r="B1746" t="s">
        <v>29</v>
      </c>
      <c r="C1746">
        <v>2</v>
      </c>
      <c r="D1746">
        <v>19.2</v>
      </c>
      <c r="E1746">
        <v>38.4</v>
      </c>
      <c r="F1746" s="1">
        <v>45721</v>
      </c>
      <c r="G1746" s="1">
        <v>45731</v>
      </c>
      <c r="H1746" t="s">
        <v>8</v>
      </c>
      <c r="I1746" t="s">
        <v>3</v>
      </c>
      <c r="J1746">
        <v>4</v>
      </c>
      <c r="K1746" t="s">
        <v>4</v>
      </c>
      <c r="L1746" t="s">
        <v>18</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1831</v>
      </c>
      <c r="B1747" t="s">
        <v>15</v>
      </c>
      <c r="C1747">
        <v>6</v>
      </c>
      <c r="D1747">
        <v>55.6</v>
      </c>
      <c r="E1747">
        <v>333.6</v>
      </c>
      <c r="F1747" s="1">
        <v>45721</v>
      </c>
      <c r="G1747" s="1">
        <v>45725</v>
      </c>
      <c r="H1747" t="s">
        <v>12</v>
      </c>
      <c r="I1747" t="s">
        <v>3</v>
      </c>
      <c r="J1747">
        <v>5</v>
      </c>
      <c r="K1747" t="s">
        <v>4</v>
      </c>
      <c r="L1747" t="s">
        <v>18</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1832</v>
      </c>
      <c r="B1748" t="s">
        <v>22</v>
      </c>
      <c r="C1748">
        <v>6</v>
      </c>
      <c r="D1748">
        <v>56.4</v>
      </c>
      <c r="E1748">
        <v>338.4</v>
      </c>
      <c r="F1748" s="1">
        <v>45721</v>
      </c>
      <c r="G1748" s="1">
        <v>45722</v>
      </c>
      <c r="H1748" t="s">
        <v>12</v>
      </c>
      <c r="I1748" t="s">
        <v>20</v>
      </c>
      <c r="J1748">
        <v>4</v>
      </c>
      <c r="K1748" t="s">
        <v>4</v>
      </c>
      <c r="L1748" t="s">
        <v>18</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1833</v>
      </c>
      <c r="B1749" t="s">
        <v>17</v>
      </c>
      <c r="C1749">
        <v>8</v>
      </c>
      <c r="D1749">
        <v>43.1</v>
      </c>
      <c r="E1749">
        <v>344.8</v>
      </c>
      <c r="F1749" s="1">
        <v>45721</v>
      </c>
      <c r="G1749" s="1">
        <v>45725</v>
      </c>
      <c r="H1749" t="s">
        <v>12</v>
      </c>
      <c r="I1749" t="s">
        <v>55</v>
      </c>
      <c r="J1749">
        <v>4</v>
      </c>
      <c r="K1749" t="s">
        <v>4</v>
      </c>
      <c r="L1749" t="s">
        <v>18</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1834</v>
      </c>
      <c r="B1750" t="s">
        <v>7</v>
      </c>
      <c r="C1750">
        <v>2</v>
      </c>
      <c r="D1750">
        <v>77.3</v>
      </c>
      <c r="E1750">
        <v>154.6</v>
      </c>
      <c r="F1750" s="1">
        <v>45721</v>
      </c>
      <c r="G1750" s="1">
        <v>45723</v>
      </c>
      <c r="H1750" t="s">
        <v>8</v>
      </c>
      <c r="I1750" t="s">
        <v>3</v>
      </c>
      <c r="J1750">
        <v>4</v>
      </c>
      <c r="K1750" t="s">
        <v>4</v>
      </c>
      <c r="L1750" t="s">
        <v>40</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1835</v>
      </c>
      <c r="B1751" t="s">
        <v>31</v>
      </c>
      <c r="C1751">
        <v>8</v>
      </c>
      <c r="D1751">
        <v>38.299999999999997</v>
      </c>
      <c r="E1751">
        <v>306.39999999999998</v>
      </c>
      <c r="F1751" s="1">
        <v>45721</v>
      </c>
      <c r="G1751" s="1">
        <v>45722</v>
      </c>
      <c r="H1751" t="s">
        <v>8</v>
      </c>
      <c r="I1751" t="s">
        <v>3</v>
      </c>
      <c r="J1751">
        <v>4</v>
      </c>
      <c r="K1751" t="s">
        <v>4</v>
      </c>
      <c r="L1751" t="s">
        <v>44</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1836</v>
      </c>
      <c r="B1752" t="s">
        <v>1</v>
      </c>
      <c r="C1752">
        <v>7</v>
      </c>
      <c r="D1752">
        <v>16.8</v>
      </c>
      <c r="E1752">
        <v>117.60000000000001</v>
      </c>
      <c r="F1752" s="1">
        <v>45721</v>
      </c>
      <c r="G1752" s="1">
        <v>45724</v>
      </c>
      <c r="H1752" t="s">
        <v>8</v>
      </c>
      <c r="I1752" t="s">
        <v>25</v>
      </c>
      <c r="J1752">
        <v>3</v>
      </c>
      <c r="K1752" t="s">
        <v>4</v>
      </c>
      <c r="L1752" t="s">
        <v>47</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1837</v>
      </c>
      <c r="B1753" t="s">
        <v>11</v>
      </c>
      <c r="C1753">
        <v>3</v>
      </c>
      <c r="D1753">
        <v>63.2</v>
      </c>
      <c r="E1753">
        <v>189.60000000000002</v>
      </c>
      <c r="F1753" s="1">
        <v>45721</v>
      </c>
      <c r="G1753" s="1">
        <v>45722</v>
      </c>
      <c r="H1753" t="s">
        <v>12</v>
      </c>
      <c r="I1753" t="s">
        <v>3</v>
      </c>
      <c r="J1753">
        <v>5</v>
      </c>
      <c r="K1753" t="s">
        <v>4</v>
      </c>
      <c r="L1753" t="s">
        <v>47</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1838</v>
      </c>
      <c r="B1754" t="s">
        <v>66</v>
      </c>
      <c r="C1754">
        <v>23</v>
      </c>
      <c r="D1754">
        <v>39.700000000000003</v>
      </c>
      <c r="E1754">
        <v>913.1</v>
      </c>
      <c r="F1754" s="1">
        <v>45721</v>
      </c>
      <c r="G1754" s="1">
        <v>45722</v>
      </c>
      <c r="H1754" t="s">
        <v>8</v>
      </c>
      <c r="I1754" t="s">
        <v>3</v>
      </c>
      <c r="J1754">
        <v>4</v>
      </c>
      <c r="K1754" t="s">
        <v>4</v>
      </c>
      <c r="L1754" t="s">
        <v>47</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1839</v>
      </c>
      <c r="B1755" t="s">
        <v>39</v>
      </c>
      <c r="C1755">
        <v>3</v>
      </c>
      <c r="D1755">
        <v>45.8</v>
      </c>
      <c r="E1755">
        <v>137.39999999999998</v>
      </c>
      <c r="F1755" s="1">
        <v>45721</v>
      </c>
      <c r="G1755" s="1">
        <v>45722</v>
      </c>
      <c r="H1755" t="s">
        <v>12</v>
      </c>
      <c r="I1755" t="s">
        <v>20</v>
      </c>
      <c r="J1755">
        <v>5</v>
      </c>
      <c r="K1755" t="s">
        <v>4</v>
      </c>
      <c r="L1755" t="s">
        <v>47</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1840</v>
      </c>
      <c r="B1756" t="s">
        <v>1</v>
      </c>
      <c r="C1756">
        <v>6</v>
      </c>
      <c r="D1756">
        <v>12.4</v>
      </c>
      <c r="E1756">
        <v>74.400000000000006</v>
      </c>
      <c r="F1756" s="1">
        <v>45721</v>
      </c>
      <c r="G1756" s="1">
        <v>45724</v>
      </c>
      <c r="H1756" t="s">
        <v>8</v>
      </c>
      <c r="I1756" t="s">
        <v>3</v>
      </c>
      <c r="J1756">
        <v>4</v>
      </c>
      <c r="K1756" t="s">
        <v>4</v>
      </c>
      <c r="L1756" t="s">
        <v>47</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1841</v>
      </c>
      <c r="B1757" t="s">
        <v>66</v>
      </c>
      <c r="C1757">
        <v>3</v>
      </c>
      <c r="D1757">
        <v>50.8</v>
      </c>
      <c r="E1757">
        <v>152.39999999999998</v>
      </c>
      <c r="F1757" s="1">
        <v>45722</v>
      </c>
      <c r="G1757" s="1">
        <v>45722</v>
      </c>
      <c r="H1757" t="s">
        <v>12</v>
      </c>
      <c r="I1757" t="s">
        <v>55</v>
      </c>
      <c r="J1757">
        <v>4</v>
      </c>
      <c r="K1757" t="s">
        <v>4</v>
      </c>
      <c r="L1757" t="s">
        <v>88</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1842</v>
      </c>
      <c r="B1758" t="s">
        <v>31</v>
      </c>
      <c r="C1758">
        <v>1</v>
      </c>
      <c r="D1758">
        <v>76</v>
      </c>
      <c r="E1758">
        <v>76</v>
      </c>
      <c r="F1758" s="1">
        <v>45722</v>
      </c>
      <c r="G1758" s="1">
        <v>45726</v>
      </c>
      <c r="H1758" t="s">
        <v>74</v>
      </c>
      <c r="I1758" t="s">
        <v>25</v>
      </c>
      <c r="J1758">
        <v>5</v>
      </c>
      <c r="K1758" t="s">
        <v>4</v>
      </c>
      <c r="L1758" t="s">
        <v>88</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1843</v>
      </c>
      <c r="B1759" t="s">
        <v>7</v>
      </c>
      <c r="C1759">
        <v>2</v>
      </c>
      <c r="D1759">
        <v>51.9</v>
      </c>
      <c r="E1759">
        <v>103.8</v>
      </c>
      <c r="F1759" s="1">
        <v>45722</v>
      </c>
      <c r="G1759" s="1">
        <v>45723</v>
      </c>
      <c r="H1759" t="s">
        <v>8</v>
      </c>
      <c r="I1759" t="s">
        <v>20</v>
      </c>
      <c r="J1759">
        <v>5</v>
      </c>
      <c r="K1759" t="s">
        <v>4</v>
      </c>
      <c r="L1759" t="s">
        <v>186</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1844</v>
      </c>
      <c r="B1760" t="s">
        <v>11</v>
      </c>
      <c r="C1760">
        <v>2</v>
      </c>
      <c r="D1760">
        <v>93.4</v>
      </c>
      <c r="E1760">
        <v>186.8</v>
      </c>
      <c r="F1760" s="1">
        <v>45722</v>
      </c>
      <c r="G1760" s="1">
        <v>45729</v>
      </c>
      <c r="H1760" t="s">
        <v>8</v>
      </c>
      <c r="I1760" t="s">
        <v>3</v>
      </c>
      <c r="J1760">
        <v>1</v>
      </c>
      <c r="K1760" t="s">
        <v>4</v>
      </c>
      <c r="L1760" t="s">
        <v>62</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1845</v>
      </c>
      <c r="B1761" t="s">
        <v>27</v>
      </c>
      <c r="C1761">
        <v>6</v>
      </c>
      <c r="D1761">
        <v>30.8</v>
      </c>
      <c r="E1761">
        <v>184.8</v>
      </c>
      <c r="F1761" s="1">
        <v>45722</v>
      </c>
      <c r="G1761" s="1">
        <v>45725</v>
      </c>
      <c r="H1761" t="s">
        <v>12</v>
      </c>
      <c r="I1761" t="s">
        <v>20</v>
      </c>
      <c r="J1761">
        <v>4</v>
      </c>
      <c r="K1761" t="s">
        <v>4</v>
      </c>
      <c r="L1761" t="s">
        <v>62</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1846</v>
      </c>
      <c r="B1762" t="s">
        <v>11</v>
      </c>
      <c r="C1762">
        <v>1</v>
      </c>
      <c r="D1762">
        <v>143.19999999999999</v>
      </c>
      <c r="E1762">
        <v>143.19999999999999</v>
      </c>
      <c r="F1762" s="1">
        <v>45722</v>
      </c>
      <c r="G1762" s="1">
        <v>45725</v>
      </c>
      <c r="H1762" t="s">
        <v>8</v>
      </c>
      <c r="I1762" t="s">
        <v>25</v>
      </c>
      <c r="J1762">
        <v>4</v>
      </c>
      <c r="K1762" t="s">
        <v>4</v>
      </c>
      <c r="L1762" t="s">
        <v>62</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1847</v>
      </c>
      <c r="B1763" t="s">
        <v>24</v>
      </c>
      <c r="C1763">
        <v>11</v>
      </c>
      <c r="D1763">
        <v>40.4</v>
      </c>
      <c r="E1763">
        <v>444.4</v>
      </c>
      <c r="F1763" s="1">
        <v>45722</v>
      </c>
      <c r="G1763" s="1">
        <v>45724</v>
      </c>
      <c r="H1763" t="s">
        <v>8</v>
      </c>
      <c r="I1763" t="s">
        <v>25</v>
      </c>
      <c r="J1763">
        <v>5</v>
      </c>
      <c r="K1763" t="s">
        <v>4</v>
      </c>
      <c r="L1763" t="s">
        <v>93</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1848</v>
      </c>
      <c r="B1764" t="s">
        <v>11</v>
      </c>
      <c r="C1764">
        <v>19</v>
      </c>
      <c r="D1764">
        <v>131.5</v>
      </c>
      <c r="E1764">
        <v>2498.5</v>
      </c>
      <c r="F1764" s="1">
        <v>45722</v>
      </c>
      <c r="G1764" s="1">
        <v>45724</v>
      </c>
      <c r="H1764" t="s">
        <v>8</v>
      </c>
      <c r="I1764" t="s">
        <v>20</v>
      </c>
      <c r="J1764">
        <v>3</v>
      </c>
      <c r="K1764" t="s">
        <v>4</v>
      </c>
      <c r="L1764" t="s">
        <v>93</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1849</v>
      </c>
      <c r="B1765" t="s">
        <v>131</v>
      </c>
      <c r="C1765">
        <v>7</v>
      </c>
      <c r="D1765">
        <v>61.6</v>
      </c>
      <c r="E1765">
        <v>431.2</v>
      </c>
      <c r="F1765" s="1">
        <v>45722</v>
      </c>
      <c r="G1765" s="1">
        <v>45723</v>
      </c>
      <c r="H1765" t="s">
        <v>8</v>
      </c>
      <c r="I1765" t="s">
        <v>25</v>
      </c>
      <c r="J1765">
        <v>4</v>
      </c>
      <c r="K1765" t="s">
        <v>4</v>
      </c>
      <c r="L1765" t="s">
        <v>100</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1850</v>
      </c>
      <c r="B1766" t="s">
        <v>31</v>
      </c>
      <c r="C1766">
        <v>5</v>
      </c>
      <c r="D1766">
        <v>32.700000000000003</v>
      </c>
      <c r="E1766">
        <v>163.5</v>
      </c>
      <c r="F1766" s="1">
        <v>45722</v>
      </c>
      <c r="G1766" s="1">
        <v>45724</v>
      </c>
      <c r="H1766" t="s">
        <v>8</v>
      </c>
      <c r="I1766" t="s">
        <v>25</v>
      </c>
      <c r="J1766">
        <v>4</v>
      </c>
      <c r="K1766" t="s">
        <v>4</v>
      </c>
      <c r="L1766" t="s">
        <v>9</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1851</v>
      </c>
      <c r="B1767" t="s">
        <v>1</v>
      </c>
      <c r="C1767">
        <v>10</v>
      </c>
      <c r="D1767">
        <v>13.7</v>
      </c>
      <c r="E1767">
        <v>137</v>
      </c>
      <c r="F1767" s="1">
        <v>45722</v>
      </c>
      <c r="G1767" s="1">
        <v>45723</v>
      </c>
      <c r="H1767" t="s">
        <v>8</v>
      </c>
      <c r="I1767" t="s">
        <v>3</v>
      </c>
      <c r="J1767">
        <v>5</v>
      </c>
      <c r="K1767" t="s">
        <v>4</v>
      </c>
      <c r="L1767" t="s">
        <v>18</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1852</v>
      </c>
      <c r="B1768" t="s">
        <v>1</v>
      </c>
      <c r="C1768">
        <v>4</v>
      </c>
      <c r="D1768">
        <v>32.1</v>
      </c>
      <c r="E1768">
        <v>128.4</v>
      </c>
      <c r="F1768" s="1">
        <v>45722</v>
      </c>
      <c r="G1768" s="1">
        <v>45723</v>
      </c>
      <c r="H1768" t="s">
        <v>8</v>
      </c>
      <c r="I1768" t="s">
        <v>55</v>
      </c>
      <c r="J1768">
        <v>3</v>
      </c>
      <c r="K1768" t="s">
        <v>4</v>
      </c>
      <c r="L1768" t="s">
        <v>18</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1853</v>
      </c>
      <c r="B1769" t="s">
        <v>66</v>
      </c>
      <c r="C1769">
        <v>8</v>
      </c>
      <c r="D1769">
        <v>12</v>
      </c>
      <c r="E1769">
        <v>96</v>
      </c>
      <c r="F1769" s="1">
        <v>45722</v>
      </c>
      <c r="G1769" s="1">
        <v>45723</v>
      </c>
      <c r="H1769" t="s">
        <v>8</v>
      </c>
      <c r="I1769" t="s">
        <v>20</v>
      </c>
      <c r="J1769">
        <v>4</v>
      </c>
      <c r="K1769" t="s">
        <v>4</v>
      </c>
      <c r="L1769" t="s">
        <v>171</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1854</v>
      </c>
      <c r="B1770" t="s">
        <v>54</v>
      </c>
      <c r="C1770">
        <v>1</v>
      </c>
      <c r="D1770">
        <v>64.3</v>
      </c>
      <c r="E1770">
        <v>64.3</v>
      </c>
      <c r="F1770" s="1">
        <v>45722</v>
      </c>
      <c r="G1770" s="1">
        <v>45724</v>
      </c>
      <c r="H1770" t="s">
        <v>12</v>
      </c>
      <c r="I1770" t="s">
        <v>25</v>
      </c>
      <c r="J1770">
        <v>5</v>
      </c>
      <c r="K1770" t="s">
        <v>4</v>
      </c>
      <c r="L1770" t="s">
        <v>40</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1855</v>
      </c>
      <c r="B1771" t="s">
        <v>7</v>
      </c>
      <c r="C1771">
        <v>3</v>
      </c>
      <c r="D1771">
        <v>58.2</v>
      </c>
      <c r="E1771">
        <v>174.60000000000002</v>
      </c>
      <c r="F1771" s="1">
        <v>45722</v>
      </c>
      <c r="G1771" s="1">
        <v>45724</v>
      </c>
      <c r="H1771" t="s">
        <v>12</v>
      </c>
      <c r="I1771" t="s">
        <v>20</v>
      </c>
      <c r="J1771">
        <v>5</v>
      </c>
      <c r="K1771" t="s">
        <v>4</v>
      </c>
      <c r="L1771" t="s">
        <v>40</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1856</v>
      </c>
      <c r="B1772" t="s">
        <v>24</v>
      </c>
      <c r="C1772">
        <v>4</v>
      </c>
      <c r="D1772">
        <v>59.2</v>
      </c>
      <c r="E1772">
        <v>236.8</v>
      </c>
      <c r="F1772" s="1">
        <v>45722</v>
      </c>
      <c r="G1772" s="1">
        <v>45722</v>
      </c>
      <c r="H1772" t="s">
        <v>8</v>
      </c>
      <c r="I1772" t="s">
        <v>20</v>
      </c>
      <c r="J1772">
        <v>5</v>
      </c>
      <c r="K1772" t="s">
        <v>4</v>
      </c>
      <c r="L1772" t="s">
        <v>40</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1857</v>
      </c>
      <c r="B1773" t="s">
        <v>39</v>
      </c>
      <c r="C1773">
        <v>11</v>
      </c>
      <c r="D1773">
        <v>35.6</v>
      </c>
      <c r="E1773">
        <v>391.6</v>
      </c>
      <c r="F1773" s="1">
        <v>45722</v>
      </c>
      <c r="G1773" s="1">
        <v>45729</v>
      </c>
      <c r="H1773" t="s">
        <v>8</v>
      </c>
      <c r="I1773" t="s">
        <v>3</v>
      </c>
      <c r="J1773">
        <v>5</v>
      </c>
      <c r="K1773" t="s">
        <v>4</v>
      </c>
      <c r="L1773" t="s">
        <v>47</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1858</v>
      </c>
      <c r="B1774" t="s">
        <v>113</v>
      </c>
      <c r="C1774">
        <v>8</v>
      </c>
      <c r="D1774">
        <v>37</v>
      </c>
      <c r="E1774">
        <v>296</v>
      </c>
      <c r="F1774" s="1">
        <v>45722</v>
      </c>
      <c r="G1774" s="1">
        <v>45726</v>
      </c>
      <c r="H1774" t="s">
        <v>12</v>
      </c>
      <c r="I1774" t="s">
        <v>25</v>
      </c>
      <c r="J1774">
        <v>3</v>
      </c>
      <c r="K1774" t="s">
        <v>4</v>
      </c>
      <c r="L1774" t="s">
        <v>47</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1859</v>
      </c>
      <c r="B1775" t="s">
        <v>7</v>
      </c>
      <c r="C1775">
        <v>13</v>
      </c>
      <c r="D1775">
        <v>80.8</v>
      </c>
      <c r="E1775">
        <v>1050.3999999999999</v>
      </c>
      <c r="F1775" s="1">
        <v>45722</v>
      </c>
      <c r="G1775" s="1">
        <v>45724</v>
      </c>
      <c r="H1775" t="s">
        <v>12</v>
      </c>
      <c r="I1775" t="s">
        <v>3</v>
      </c>
      <c r="J1775">
        <v>4</v>
      </c>
      <c r="K1775" t="s">
        <v>4</v>
      </c>
      <c r="L1775" t="s">
        <v>47</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1860</v>
      </c>
      <c r="B1776" t="s">
        <v>29</v>
      </c>
      <c r="C1776">
        <v>2</v>
      </c>
      <c r="D1776">
        <v>63.2</v>
      </c>
      <c r="E1776">
        <v>126.4</v>
      </c>
      <c r="F1776" s="1">
        <v>45722</v>
      </c>
      <c r="G1776" s="1">
        <v>45723</v>
      </c>
      <c r="H1776" t="s">
        <v>8</v>
      </c>
      <c r="I1776" t="s">
        <v>3</v>
      </c>
      <c r="J1776">
        <v>3</v>
      </c>
      <c r="K1776" t="s">
        <v>4</v>
      </c>
      <c r="L1776" t="s">
        <v>47</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1861</v>
      </c>
      <c r="B1777" t="s">
        <v>15</v>
      </c>
      <c r="C1777">
        <v>2</v>
      </c>
      <c r="D1777">
        <v>40.799999999999997</v>
      </c>
      <c r="E1777">
        <v>81.599999999999994</v>
      </c>
      <c r="F1777" s="1">
        <v>45722</v>
      </c>
      <c r="G1777" s="1">
        <v>45724</v>
      </c>
      <c r="H1777" t="s">
        <v>8</v>
      </c>
      <c r="I1777" t="s">
        <v>3</v>
      </c>
      <c r="J1777">
        <v>3</v>
      </c>
      <c r="K1777" t="s">
        <v>4</v>
      </c>
      <c r="L1777" t="s">
        <v>88</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1862</v>
      </c>
      <c r="B1778" t="s">
        <v>61</v>
      </c>
      <c r="C1778">
        <v>6</v>
      </c>
      <c r="D1778">
        <v>25.7</v>
      </c>
      <c r="E1778">
        <v>154.19999999999999</v>
      </c>
      <c r="F1778" s="1">
        <v>45722</v>
      </c>
      <c r="G1778" s="1">
        <v>45724</v>
      </c>
      <c r="H1778" t="s">
        <v>8</v>
      </c>
      <c r="I1778" t="s">
        <v>55</v>
      </c>
      <c r="J1778">
        <v>4</v>
      </c>
      <c r="K1778" t="s">
        <v>4</v>
      </c>
      <c r="L1778" t="s">
        <v>93</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1863</v>
      </c>
      <c r="B1779" t="s">
        <v>113</v>
      </c>
      <c r="C1779">
        <v>2</v>
      </c>
      <c r="D1779">
        <v>49.9</v>
      </c>
      <c r="E1779">
        <v>99.8</v>
      </c>
      <c r="F1779" s="1">
        <v>45722</v>
      </c>
      <c r="G1779" s="1">
        <v>45725</v>
      </c>
      <c r="H1779" t="s">
        <v>8</v>
      </c>
      <c r="I1779" t="s">
        <v>3</v>
      </c>
      <c r="J1779">
        <v>4</v>
      </c>
      <c r="K1779" t="s">
        <v>4</v>
      </c>
      <c r="L1779" t="s">
        <v>98</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1864</v>
      </c>
      <c r="B1780" t="s">
        <v>29</v>
      </c>
      <c r="C1780">
        <v>2</v>
      </c>
      <c r="D1780">
        <v>20.2</v>
      </c>
      <c r="E1780">
        <v>40.4</v>
      </c>
      <c r="F1780" s="1">
        <v>45722</v>
      </c>
      <c r="G1780" s="1">
        <v>45724</v>
      </c>
      <c r="H1780" t="s">
        <v>12</v>
      </c>
      <c r="I1780" t="s">
        <v>36</v>
      </c>
      <c r="J1780">
        <v>4</v>
      </c>
      <c r="K1780" t="s">
        <v>4</v>
      </c>
      <c r="L1780" t="s">
        <v>100</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1865</v>
      </c>
      <c r="B1781" t="s">
        <v>24</v>
      </c>
      <c r="C1781">
        <v>3</v>
      </c>
      <c r="D1781">
        <v>48.4</v>
      </c>
      <c r="E1781">
        <v>145.19999999999999</v>
      </c>
      <c r="F1781" s="1">
        <v>45722</v>
      </c>
      <c r="G1781" s="1">
        <v>45727</v>
      </c>
      <c r="H1781" t="s">
        <v>12</v>
      </c>
      <c r="I1781" t="s">
        <v>3</v>
      </c>
      <c r="J1781">
        <v>5</v>
      </c>
      <c r="K1781" t="s">
        <v>4</v>
      </c>
      <c r="L1781" t="s">
        <v>100</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1866</v>
      </c>
      <c r="B1782" t="s">
        <v>24</v>
      </c>
      <c r="C1782">
        <v>2</v>
      </c>
      <c r="D1782">
        <v>81</v>
      </c>
      <c r="E1782">
        <v>162</v>
      </c>
      <c r="F1782" s="1">
        <v>45722</v>
      </c>
      <c r="G1782" s="1">
        <v>45723</v>
      </c>
      <c r="H1782" t="s">
        <v>12</v>
      </c>
      <c r="I1782" t="s">
        <v>20</v>
      </c>
      <c r="J1782">
        <v>5</v>
      </c>
      <c r="K1782" t="s">
        <v>4</v>
      </c>
      <c r="L1782" t="s">
        <v>100</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1867</v>
      </c>
      <c r="B1783" t="s">
        <v>29</v>
      </c>
      <c r="C1783">
        <v>6</v>
      </c>
      <c r="D1783">
        <v>19.899999999999999</v>
      </c>
      <c r="E1783">
        <v>119.39999999999999</v>
      </c>
      <c r="F1783" s="1">
        <v>45722</v>
      </c>
      <c r="G1783" s="1">
        <v>45725</v>
      </c>
      <c r="H1783" t="s">
        <v>12</v>
      </c>
      <c r="I1783" t="s">
        <v>3</v>
      </c>
      <c r="J1783">
        <v>3</v>
      </c>
      <c r="K1783" t="s">
        <v>4</v>
      </c>
      <c r="L1783" t="s">
        <v>132</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1868</v>
      </c>
      <c r="B1784" t="s">
        <v>17</v>
      </c>
      <c r="C1784">
        <v>4</v>
      </c>
      <c r="D1784">
        <v>32.200000000000003</v>
      </c>
      <c r="E1784">
        <v>128.80000000000001</v>
      </c>
      <c r="F1784" s="1">
        <v>45722</v>
      </c>
      <c r="G1784" s="1">
        <v>45732</v>
      </c>
      <c r="H1784" t="s">
        <v>8</v>
      </c>
      <c r="I1784" t="s">
        <v>3</v>
      </c>
      <c r="J1784">
        <v>4</v>
      </c>
      <c r="K1784" t="s">
        <v>4</v>
      </c>
      <c r="L1784" t="s">
        <v>132</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1869</v>
      </c>
      <c r="B1785" t="s">
        <v>22</v>
      </c>
      <c r="C1785">
        <v>3</v>
      </c>
      <c r="D1785">
        <v>76.8</v>
      </c>
      <c r="E1785">
        <v>230.39999999999998</v>
      </c>
      <c r="F1785" s="1">
        <v>45722</v>
      </c>
      <c r="G1785" s="1">
        <v>45723</v>
      </c>
      <c r="H1785" t="s">
        <v>12</v>
      </c>
      <c r="I1785" t="s">
        <v>3</v>
      </c>
      <c r="J1785">
        <v>3</v>
      </c>
      <c r="K1785" t="s">
        <v>4</v>
      </c>
      <c r="L1785" t="s">
        <v>18</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1870</v>
      </c>
      <c r="B1786" t="s">
        <v>24</v>
      </c>
      <c r="C1786">
        <v>2</v>
      </c>
      <c r="D1786">
        <v>41.9</v>
      </c>
      <c r="E1786">
        <v>83.8</v>
      </c>
      <c r="F1786" s="1">
        <v>45722</v>
      </c>
      <c r="G1786" s="1">
        <v>45724</v>
      </c>
      <c r="H1786" t="s">
        <v>12</v>
      </c>
      <c r="I1786" t="s">
        <v>3</v>
      </c>
      <c r="J1786">
        <v>4</v>
      </c>
      <c r="K1786" t="s">
        <v>4</v>
      </c>
      <c r="L1786" t="s">
        <v>18</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1871</v>
      </c>
      <c r="B1787" t="s">
        <v>1</v>
      </c>
      <c r="C1787">
        <v>7</v>
      </c>
      <c r="D1787">
        <v>34</v>
      </c>
      <c r="E1787">
        <v>238</v>
      </c>
      <c r="F1787" s="1">
        <v>45722</v>
      </c>
      <c r="G1787" s="1">
        <v>45724</v>
      </c>
      <c r="H1787" t="s">
        <v>12</v>
      </c>
      <c r="I1787" t="s">
        <v>20</v>
      </c>
      <c r="J1787">
        <v>5</v>
      </c>
      <c r="K1787" t="s">
        <v>4</v>
      </c>
      <c r="L1787" t="s">
        <v>18</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1872</v>
      </c>
      <c r="B1788" t="s">
        <v>27</v>
      </c>
      <c r="C1788">
        <v>7</v>
      </c>
      <c r="D1788">
        <v>61.3</v>
      </c>
      <c r="E1788">
        <v>429.09999999999997</v>
      </c>
      <c r="F1788" s="1">
        <v>45722</v>
      </c>
      <c r="G1788" s="1">
        <v>45722</v>
      </c>
      <c r="H1788" t="s">
        <v>12</v>
      </c>
      <c r="I1788" t="s">
        <v>55</v>
      </c>
      <c r="J1788">
        <v>5</v>
      </c>
      <c r="K1788" t="s">
        <v>4</v>
      </c>
      <c r="L1788" t="s">
        <v>18</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1873</v>
      </c>
      <c r="B1789" t="s">
        <v>31</v>
      </c>
      <c r="C1789">
        <v>1</v>
      </c>
      <c r="D1789">
        <v>54.7</v>
      </c>
      <c r="E1789">
        <v>54.7</v>
      </c>
      <c r="F1789" s="1">
        <v>45723</v>
      </c>
      <c r="G1789" s="1">
        <v>45724</v>
      </c>
      <c r="H1789" t="s">
        <v>8</v>
      </c>
      <c r="I1789" t="s">
        <v>3</v>
      </c>
      <c r="J1789">
        <v>3</v>
      </c>
      <c r="K1789" t="s">
        <v>4</v>
      </c>
      <c r="L1789" t="s">
        <v>18</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1874</v>
      </c>
      <c r="B1790" t="s">
        <v>24</v>
      </c>
      <c r="C1790">
        <v>10</v>
      </c>
      <c r="D1790">
        <v>84.7</v>
      </c>
      <c r="E1790">
        <v>847</v>
      </c>
      <c r="F1790" s="1">
        <v>45723</v>
      </c>
      <c r="G1790" s="1">
        <v>45727</v>
      </c>
      <c r="H1790" t="s">
        <v>12</v>
      </c>
      <c r="I1790" t="s">
        <v>3</v>
      </c>
      <c r="J1790">
        <v>4</v>
      </c>
      <c r="K1790" t="s">
        <v>4</v>
      </c>
      <c r="L1790" t="s">
        <v>18</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1875</v>
      </c>
      <c r="B1791" t="s">
        <v>7</v>
      </c>
      <c r="C1791">
        <v>3</v>
      </c>
      <c r="D1791">
        <v>93.4</v>
      </c>
      <c r="E1791">
        <v>280.20000000000005</v>
      </c>
      <c r="F1791" s="1">
        <v>45723</v>
      </c>
      <c r="G1791" s="1">
        <v>45727</v>
      </c>
      <c r="H1791" t="s">
        <v>12</v>
      </c>
      <c r="I1791" t="s">
        <v>36</v>
      </c>
      <c r="J1791">
        <v>4</v>
      </c>
      <c r="K1791" t="s">
        <v>4</v>
      </c>
      <c r="L1791" t="s">
        <v>18</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1876</v>
      </c>
      <c r="B1792" t="s">
        <v>29</v>
      </c>
      <c r="C1792">
        <v>5</v>
      </c>
      <c r="D1792">
        <v>27</v>
      </c>
      <c r="E1792">
        <v>135</v>
      </c>
      <c r="F1792" s="1">
        <v>45723</v>
      </c>
      <c r="G1792" s="1">
        <v>45726</v>
      </c>
      <c r="H1792" t="s">
        <v>8</v>
      </c>
      <c r="I1792" t="s">
        <v>3</v>
      </c>
      <c r="J1792">
        <v>3</v>
      </c>
      <c r="K1792" t="s">
        <v>4</v>
      </c>
      <c r="L1792" t="s">
        <v>18</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1877</v>
      </c>
      <c r="B1793" t="s">
        <v>1</v>
      </c>
      <c r="C1793">
        <v>4</v>
      </c>
      <c r="D1793">
        <v>10.9</v>
      </c>
      <c r="E1793">
        <v>43.6</v>
      </c>
      <c r="F1793" s="1">
        <v>45723</v>
      </c>
      <c r="G1793" s="1">
        <v>45724</v>
      </c>
      <c r="H1793" t="s">
        <v>8</v>
      </c>
      <c r="I1793" t="s">
        <v>25</v>
      </c>
      <c r="J1793">
        <v>4</v>
      </c>
      <c r="K1793" t="s">
        <v>4</v>
      </c>
      <c r="L1793" t="s">
        <v>18</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1878</v>
      </c>
      <c r="B1794" t="s">
        <v>113</v>
      </c>
      <c r="C1794">
        <v>3</v>
      </c>
      <c r="D1794">
        <v>48</v>
      </c>
      <c r="E1794">
        <v>144</v>
      </c>
      <c r="F1794" s="1">
        <v>45723</v>
      </c>
      <c r="G1794" s="1">
        <v>45728</v>
      </c>
      <c r="H1794" t="s">
        <v>12</v>
      </c>
      <c r="I1794" t="s">
        <v>55</v>
      </c>
      <c r="J1794">
        <v>4</v>
      </c>
      <c r="K1794" t="s">
        <v>4</v>
      </c>
      <c r="L1794" t="s">
        <v>18</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1879</v>
      </c>
      <c r="B1795" t="s">
        <v>22</v>
      </c>
      <c r="C1795">
        <v>2</v>
      </c>
      <c r="D1795">
        <v>67.900000000000006</v>
      </c>
      <c r="E1795">
        <v>135.80000000000001</v>
      </c>
      <c r="F1795" s="1">
        <v>45723</v>
      </c>
      <c r="G1795" s="1">
        <v>45724</v>
      </c>
      <c r="H1795" t="s">
        <v>8</v>
      </c>
      <c r="I1795" t="s">
        <v>3</v>
      </c>
      <c r="J1795">
        <v>5</v>
      </c>
      <c r="K1795" t="s">
        <v>4</v>
      </c>
      <c r="L1795" t="s">
        <v>143</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1880</v>
      </c>
      <c r="B1796" t="s">
        <v>17</v>
      </c>
      <c r="C1796">
        <v>3</v>
      </c>
      <c r="D1796">
        <v>36</v>
      </c>
      <c r="E1796">
        <v>108</v>
      </c>
      <c r="F1796" s="1">
        <v>45723</v>
      </c>
      <c r="G1796" s="1">
        <v>45724</v>
      </c>
      <c r="H1796" t="s">
        <v>8</v>
      </c>
      <c r="I1796" t="s">
        <v>20</v>
      </c>
      <c r="J1796">
        <v>4</v>
      </c>
      <c r="K1796" t="s">
        <v>4</v>
      </c>
      <c r="L1796" t="s">
        <v>40</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1881</v>
      </c>
      <c r="B1797" t="s">
        <v>11</v>
      </c>
      <c r="C1797">
        <v>1</v>
      </c>
      <c r="D1797">
        <v>128.80000000000001</v>
      </c>
      <c r="E1797">
        <v>128.80000000000001</v>
      </c>
      <c r="F1797" s="1">
        <v>45723</v>
      </c>
      <c r="G1797" s="1">
        <v>45724</v>
      </c>
      <c r="H1797" t="s">
        <v>8</v>
      </c>
      <c r="I1797" t="s">
        <v>55</v>
      </c>
      <c r="J1797">
        <v>5</v>
      </c>
      <c r="K1797" t="s">
        <v>4</v>
      </c>
      <c r="L1797" t="s">
        <v>40</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1882</v>
      </c>
      <c r="B1798" t="s">
        <v>131</v>
      </c>
      <c r="C1798">
        <v>7</v>
      </c>
      <c r="D1798">
        <v>33.299999999999997</v>
      </c>
      <c r="E1798">
        <v>233.09999999999997</v>
      </c>
      <c r="F1798" s="1">
        <v>45723</v>
      </c>
      <c r="G1798" s="1">
        <v>45724</v>
      </c>
      <c r="H1798" t="s">
        <v>12</v>
      </c>
      <c r="I1798" t="s">
        <v>36</v>
      </c>
      <c r="J1798">
        <v>4</v>
      </c>
      <c r="K1798" t="s">
        <v>4</v>
      </c>
      <c r="L1798" t="s">
        <v>47</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1883</v>
      </c>
      <c r="B1799" t="s">
        <v>39</v>
      </c>
      <c r="C1799">
        <v>3</v>
      </c>
      <c r="D1799">
        <v>37.799999999999997</v>
      </c>
      <c r="E1799">
        <v>113.39999999999999</v>
      </c>
      <c r="F1799" s="1">
        <v>45723</v>
      </c>
      <c r="G1799" s="1">
        <v>45725</v>
      </c>
      <c r="H1799" t="s">
        <v>8</v>
      </c>
      <c r="I1799" t="s">
        <v>20</v>
      </c>
      <c r="J1799">
        <v>5</v>
      </c>
      <c r="K1799" t="s">
        <v>4</v>
      </c>
      <c r="L1799" t="s">
        <v>47</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1884</v>
      </c>
      <c r="B1800" t="s">
        <v>22</v>
      </c>
      <c r="C1800">
        <v>3</v>
      </c>
      <c r="D1800">
        <v>26</v>
      </c>
      <c r="E1800">
        <v>78</v>
      </c>
      <c r="F1800" s="1">
        <v>45723</v>
      </c>
      <c r="G1800" s="1">
        <v>45728</v>
      </c>
      <c r="H1800" t="s">
        <v>12</v>
      </c>
      <c r="I1800" t="s">
        <v>3</v>
      </c>
      <c r="J1800">
        <v>4</v>
      </c>
      <c r="K1800" t="s">
        <v>4</v>
      </c>
      <c r="L1800" t="s">
        <v>47</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1885</v>
      </c>
      <c r="B1801" t="s">
        <v>29</v>
      </c>
      <c r="C1801">
        <v>19</v>
      </c>
      <c r="D1801">
        <v>28.3</v>
      </c>
      <c r="E1801">
        <v>537.70000000000005</v>
      </c>
      <c r="F1801" s="1">
        <v>45723</v>
      </c>
      <c r="G1801" s="1">
        <v>45724</v>
      </c>
      <c r="H1801" t="s">
        <v>12</v>
      </c>
      <c r="I1801" t="s">
        <v>36</v>
      </c>
      <c r="J1801">
        <v>2</v>
      </c>
      <c r="K1801" t="s">
        <v>4</v>
      </c>
      <c r="L1801" t="s">
        <v>47</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1886</v>
      </c>
      <c r="B1802" t="s">
        <v>29</v>
      </c>
      <c r="C1802">
        <v>4</v>
      </c>
      <c r="D1802">
        <v>31.3</v>
      </c>
      <c r="E1802">
        <v>125.2</v>
      </c>
      <c r="F1802" s="1">
        <v>45723</v>
      </c>
      <c r="G1802" s="1">
        <v>45723</v>
      </c>
      <c r="H1802" t="s">
        <v>12</v>
      </c>
      <c r="I1802" t="s">
        <v>3</v>
      </c>
      <c r="J1802">
        <v>4</v>
      </c>
      <c r="K1802" t="s">
        <v>4</v>
      </c>
      <c r="L1802" t="s">
        <v>47</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1887</v>
      </c>
      <c r="B1803" t="s">
        <v>27</v>
      </c>
      <c r="C1803">
        <v>3</v>
      </c>
      <c r="D1803">
        <v>69.5</v>
      </c>
      <c r="E1803">
        <v>208.5</v>
      </c>
      <c r="F1803" s="1">
        <v>45723</v>
      </c>
      <c r="G1803" s="1">
        <v>45724</v>
      </c>
      <c r="H1803" t="s">
        <v>12</v>
      </c>
      <c r="I1803" t="s">
        <v>36</v>
      </c>
      <c r="J1803">
        <v>5</v>
      </c>
      <c r="K1803" t="s">
        <v>4</v>
      </c>
      <c r="L1803" t="s">
        <v>47</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1888</v>
      </c>
      <c r="B1804" t="s">
        <v>1</v>
      </c>
      <c r="C1804">
        <v>2</v>
      </c>
      <c r="D1804">
        <v>16.7</v>
      </c>
      <c r="E1804">
        <v>33.4</v>
      </c>
      <c r="F1804" s="1">
        <v>45723</v>
      </c>
      <c r="G1804" s="1">
        <v>45724</v>
      </c>
      <c r="H1804" t="s">
        <v>12</v>
      </c>
      <c r="I1804" t="s">
        <v>36</v>
      </c>
      <c r="J1804">
        <v>3</v>
      </c>
      <c r="K1804" t="s">
        <v>4</v>
      </c>
      <c r="L1804" t="s">
        <v>47</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1889</v>
      </c>
      <c r="B1805" t="s">
        <v>31</v>
      </c>
      <c r="C1805">
        <v>2</v>
      </c>
      <c r="D1805">
        <v>62.6</v>
      </c>
      <c r="E1805">
        <v>125.2</v>
      </c>
      <c r="F1805" s="1">
        <v>45723</v>
      </c>
      <c r="G1805" s="1">
        <v>45724</v>
      </c>
      <c r="H1805" t="s">
        <v>8</v>
      </c>
      <c r="I1805" t="s">
        <v>25</v>
      </c>
      <c r="J1805">
        <v>5</v>
      </c>
      <c r="K1805" t="s">
        <v>4</v>
      </c>
      <c r="L1805" t="s">
        <v>57</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1890</v>
      </c>
      <c r="B1806" t="s">
        <v>27</v>
      </c>
      <c r="C1806">
        <v>1</v>
      </c>
      <c r="D1806">
        <v>81.2</v>
      </c>
      <c r="E1806">
        <v>81.2</v>
      </c>
      <c r="F1806" s="1">
        <v>45723</v>
      </c>
      <c r="G1806" s="1">
        <v>45729</v>
      </c>
      <c r="H1806" t="s">
        <v>8</v>
      </c>
      <c r="I1806" t="s">
        <v>55</v>
      </c>
      <c r="J1806">
        <v>2</v>
      </c>
      <c r="K1806" t="s">
        <v>4</v>
      </c>
      <c r="L1806" t="s">
        <v>57</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1891</v>
      </c>
      <c r="B1807" t="s">
        <v>1</v>
      </c>
      <c r="C1807">
        <v>10</v>
      </c>
      <c r="D1807">
        <v>12.7</v>
      </c>
      <c r="E1807">
        <v>127</v>
      </c>
      <c r="F1807" s="1">
        <v>45723</v>
      </c>
      <c r="G1807" s="1">
        <v>45724</v>
      </c>
      <c r="H1807" t="s">
        <v>12</v>
      </c>
      <c r="I1807" t="s">
        <v>3</v>
      </c>
      <c r="J1807">
        <v>5</v>
      </c>
      <c r="K1807" t="s">
        <v>4</v>
      </c>
      <c r="L1807" t="s">
        <v>57</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1892</v>
      </c>
      <c r="B1808" t="s">
        <v>27</v>
      </c>
      <c r="C1808">
        <v>4</v>
      </c>
      <c r="D1808">
        <v>77.7</v>
      </c>
      <c r="E1808">
        <v>310.8</v>
      </c>
      <c r="F1808" s="1">
        <v>45724</v>
      </c>
      <c r="G1808" s="1">
        <v>45728</v>
      </c>
      <c r="H1808" t="s">
        <v>8</v>
      </c>
      <c r="I1808" t="s">
        <v>20</v>
      </c>
      <c r="J1808">
        <v>4</v>
      </c>
      <c r="K1808" t="s">
        <v>4</v>
      </c>
      <c r="L1808" t="s">
        <v>62</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1893</v>
      </c>
      <c r="B1809" t="s">
        <v>22</v>
      </c>
      <c r="C1809">
        <v>2</v>
      </c>
      <c r="D1809">
        <v>37.299999999999997</v>
      </c>
      <c r="E1809">
        <v>74.599999999999994</v>
      </c>
      <c r="F1809" s="1">
        <v>45724</v>
      </c>
      <c r="G1809" s="1">
        <v>45725</v>
      </c>
      <c r="H1809" t="s">
        <v>12</v>
      </c>
      <c r="I1809" t="s">
        <v>3</v>
      </c>
      <c r="J1809">
        <v>5</v>
      </c>
      <c r="K1809" t="s">
        <v>4</v>
      </c>
      <c r="L1809" t="s">
        <v>93</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1894</v>
      </c>
      <c r="B1810" t="s">
        <v>39</v>
      </c>
      <c r="C1810">
        <v>4</v>
      </c>
      <c r="D1810">
        <v>35.6</v>
      </c>
      <c r="E1810">
        <v>142.4</v>
      </c>
      <c r="F1810" s="1">
        <v>45724</v>
      </c>
      <c r="G1810" s="1">
        <v>45726</v>
      </c>
      <c r="H1810" t="s">
        <v>12</v>
      </c>
      <c r="I1810" t="s">
        <v>20</v>
      </c>
      <c r="J1810">
        <v>3</v>
      </c>
      <c r="K1810" t="s">
        <v>4</v>
      </c>
      <c r="L1810" t="s">
        <v>95</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1895</v>
      </c>
      <c r="B1811" t="s">
        <v>11</v>
      </c>
      <c r="C1811">
        <v>3</v>
      </c>
      <c r="D1811">
        <v>95</v>
      </c>
      <c r="E1811">
        <v>285</v>
      </c>
      <c r="F1811" s="1">
        <v>45724</v>
      </c>
      <c r="G1811" s="1">
        <v>45728</v>
      </c>
      <c r="H1811" t="s">
        <v>12</v>
      </c>
      <c r="I1811" t="s">
        <v>25</v>
      </c>
      <c r="J1811">
        <v>5</v>
      </c>
      <c r="K1811" t="s">
        <v>4</v>
      </c>
      <c r="L1811" t="s">
        <v>1896</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1897</v>
      </c>
      <c r="B1812" t="s">
        <v>11</v>
      </c>
      <c r="C1812">
        <v>4</v>
      </c>
      <c r="D1812">
        <v>172.1</v>
      </c>
      <c r="E1812">
        <v>688.4</v>
      </c>
      <c r="F1812" s="1">
        <v>45724</v>
      </c>
      <c r="G1812" s="1">
        <v>45728</v>
      </c>
      <c r="H1812" t="s">
        <v>74</v>
      </c>
      <c r="I1812" t="s">
        <v>25</v>
      </c>
      <c r="J1812">
        <v>5</v>
      </c>
      <c r="K1812" t="s">
        <v>4</v>
      </c>
      <c r="L1812" t="s">
        <v>100</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1898</v>
      </c>
      <c r="B1813" t="s">
        <v>11</v>
      </c>
      <c r="C1813">
        <v>2</v>
      </c>
      <c r="D1813">
        <v>233</v>
      </c>
      <c r="E1813">
        <v>466</v>
      </c>
      <c r="F1813" s="1">
        <v>45724</v>
      </c>
      <c r="G1813" s="1">
        <v>45727</v>
      </c>
      <c r="H1813" t="s">
        <v>12</v>
      </c>
      <c r="I1813" t="s">
        <v>20</v>
      </c>
      <c r="J1813">
        <v>4</v>
      </c>
      <c r="K1813" t="s">
        <v>4</v>
      </c>
      <c r="L1813" t="s">
        <v>100</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1899</v>
      </c>
      <c r="B1814" t="s">
        <v>1</v>
      </c>
      <c r="C1814">
        <v>1</v>
      </c>
      <c r="D1814">
        <v>43.5</v>
      </c>
      <c r="E1814">
        <v>43.5</v>
      </c>
      <c r="F1814" s="1">
        <v>45724</v>
      </c>
      <c r="G1814" s="1">
        <v>45725</v>
      </c>
      <c r="H1814" t="s">
        <v>12</v>
      </c>
      <c r="I1814" t="s">
        <v>25</v>
      </c>
      <c r="J1814">
        <v>5</v>
      </c>
      <c r="K1814" t="s">
        <v>4</v>
      </c>
      <c r="L1814" t="s">
        <v>100</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1900</v>
      </c>
      <c r="B1815" t="s">
        <v>31</v>
      </c>
      <c r="C1815">
        <v>2</v>
      </c>
      <c r="D1815">
        <v>47.8</v>
      </c>
      <c r="E1815">
        <v>95.6</v>
      </c>
      <c r="F1815" s="1">
        <v>45724</v>
      </c>
      <c r="G1815" s="1">
        <v>45727</v>
      </c>
      <c r="H1815" t="s">
        <v>8</v>
      </c>
      <c r="I1815" t="s">
        <v>55</v>
      </c>
      <c r="J1815">
        <v>5</v>
      </c>
      <c r="K1815" t="s">
        <v>4</v>
      </c>
      <c r="L1815" t="s">
        <v>9</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1901</v>
      </c>
      <c r="B1816" t="s">
        <v>54</v>
      </c>
      <c r="C1816">
        <v>2</v>
      </c>
      <c r="D1816">
        <v>65.8</v>
      </c>
      <c r="E1816">
        <v>131.6</v>
      </c>
      <c r="F1816" s="1">
        <v>45724</v>
      </c>
      <c r="G1816" s="1">
        <v>45726</v>
      </c>
      <c r="H1816" t="s">
        <v>12</v>
      </c>
      <c r="I1816" t="s">
        <v>3</v>
      </c>
      <c r="J1816">
        <v>1</v>
      </c>
      <c r="K1816" t="s">
        <v>4</v>
      </c>
      <c r="L1816" t="s">
        <v>316</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1902</v>
      </c>
      <c r="B1817" t="s">
        <v>108</v>
      </c>
      <c r="C1817">
        <v>11</v>
      </c>
      <c r="D1817">
        <v>38.700000000000003</v>
      </c>
      <c r="E1817">
        <v>425.70000000000005</v>
      </c>
      <c r="F1817" s="1">
        <v>45724</v>
      </c>
      <c r="G1817" s="1">
        <v>45724</v>
      </c>
      <c r="H1817" t="s">
        <v>8</v>
      </c>
      <c r="I1817" t="s">
        <v>3</v>
      </c>
      <c r="J1817">
        <v>4</v>
      </c>
      <c r="K1817" t="s">
        <v>4</v>
      </c>
      <c r="L1817" t="s">
        <v>132</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1903</v>
      </c>
      <c r="B1818" t="s">
        <v>15</v>
      </c>
      <c r="C1818">
        <v>4</v>
      </c>
      <c r="D1818">
        <v>55.7</v>
      </c>
      <c r="E1818">
        <v>222.8</v>
      </c>
      <c r="F1818" s="1">
        <v>45724</v>
      </c>
      <c r="G1818" s="1">
        <v>45726</v>
      </c>
      <c r="H1818" t="s">
        <v>74</v>
      </c>
      <c r="I1818" t="s">
        <v>3</v>
      </c>
      <c r="J1818">
        <v>3</v>
      </c>
      <c r="K1818" t="s">
        <v>4</v>
      </c>
      <c r="L1818" t="s">
        <v>132</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1904</v>
      </c>
      <c r="B1819" t="s">
        <v>27</v>
      </c>
      <c r="C1819">
        <v>2</v>
      </c>
      <c r="D1819">
        <v>102.4</v>
      </c>
      <c r="E1819">
        <v>204.8</v>
      </c>
      <c r="F1819" s="1">
        <v>45724</v>
      </c>
      <c r="G1819" s="1">
        <v>45724</v>
      </c>
      <c r="H1819" t="s">
        <v>12</v>
      </c>
      <c r="I1819" t="s">
        <v>20</v>
      </c>
      <c r="J1819">
        <v>4</v>
      </c>
      <c r="K1819" t="s">
        <v>4</v>
      </c>
      <c r="L1819" t="s">
        <v>18</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1905</v>
      </c>
      <c r="B1820" t="s">
        <v>7</v>
      </c>
      <c r="C1820">
        <v>1</v>
      </c>
      <c r="D1820">
        <v>92</v>
      </c>
      <c r="E1820">
        <v>92</v>
      </c>
      <c r="F1820" s="1">
        <v>45724</v>
      </c>
      <c r="G1820" s="1">
        <v>45728</v>
      </c>
      <c r="H1820" t="s">
        <v>2</v>
      </c>
      <c r="I1820" t="s">
        <v>25</v>
      </c>
      <c r="J1820">
        <v>4</v>
      </c>
      <c r="K1820" t="s">
        <v>4</v>
      </c>
      <c r="L1820" t="s">
        <v>18</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1906</v>
      </c>
      <c r="B1821" t="s">
        <v>24</v>
      </c>
      <c r="C1821">
        <v>4</v>
      </c>
      <c r="D1821">
        <v>75.900000000000006</v>
      </c>
      <c r="E1821">
        <v>303.60000000000002</v>
      </c>
      <c r="F1821" s="1">
        <v>45724</v>
      </c>
      <c r="G1821" s="1">
        <v>45726</v>
      </c>
      <c r="H1821" t="s">
        <v>12</v>
      </c>
      <c r="I1821" t="s">
        <v>20</v>
      </c>
      <c r="J1821">
        <v>4</v>
      </c>
      <c r="K1821" t="s">
        <v>4</v>
      </c>
      <c r="L1821" t="s">
        <v>18</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1907</v>
      </c>
      <c r="B1822" t="s">
        <v>7</v>
      </c>
      <c r="C1822">
        <v>4</v>
      </c>
      <c r="D1822">
        <v>36.200000000000003</v>
      </c>
      <c r="E1822">
        <v>144.80000000000001</v>
      </c>
      <c r="F1822" s="1">
        <v>45724</v>
      </c>
      <c r="G1822" s="1">
        <v>45725</v>
      </c>
      <c r="H1822" t="s">
        <v>12</v>
      </c>
      <c r="I1822" t="s">
        <v>20</v>
      </c>
      <c r="J1822">
        <v>4</v>
      </c>
      <c r="K1822" t="s">
        <v>4</v>
      </c>
      <c r="L1822" t="s">
        <v>18</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1908</v>
      </c>
      <c r="B1823" t="s">
        <v>24</v>
      </c>
      <c r="C1823">
        <v>87</v>
      </c>
      <c r="D1823">
        <v>83.5</v>
      </c>
      <c r="E1823">
        <v>7264.5</v>
      </c>
      <c r="F1823" s="1">
        <v>45724</v>
      </c>
      <c r="G1823" s="1">
        <v>45726</v>
      </c>
      <c r="H1823" t="s">
        <v>2</v>
      </c>
      <c r="I1823" t="s">
        <v>36</v>
      </c>
      <c r="J1823">
        <v>4</v>
      </c>
      <c r="K1823" t="s">
        <v>4</v>
      </c>
      <c r="L1823" t="s">
        <v>18</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1909</v>
      </c>
      <c r="B1824" t="s">
        <v>156</v>
      </c>
      <c r="C1824">
        <v>12</v>
      </c>
      <c r="D1824">
        <v>52.4</v>
      </c>
      <c r="E1824">
        <v>628.79999999999995</v>
      </c>
      <c r="F1824" s="1">
        <v>45724</v>
      </c>
      <c r="G1824" s="1">
        <v>45724</v>
      </c>
      <c r="H1824" t="s">
        <v>8</v>
      </c>
      <c r="I1824" t="s">
        <v>25</v>
      </c>
      <c r="J1824">
        <v>4</v>
      </c>
      <c r="K1824" t="s">
        <v>4</v>
      </c>
      <c r="L1824" t="s">
        <v>18</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1910</v>
      </c>
      <c r="B1825" t="s">
        <v>54</v>
      </c>
      <c r="C1825">
        <v>3</v>
      </c>
      <c r="D1825">
        <v>69.5</v>
      </c>
      <c r="E1825">
        <v>208.5</v>
      </c>
      <c r="F1825" s="1">
        <v>45724</v>
      </c>
      <c r="G1825" s="1">
        <v>45725</v>
      </c>
      <c r="H1825" t="s">
        <v>74</v>
      </c>
      <c r="I1825" t="s">
        <v>55</v>
      </c>
      <c r="J1825">
        <v>4</v>
      </c>
      <c r="K1825" t="s">
        <v>4</v>
      </c>
      <c r="L1825" t="s">
        <v>18</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1911</v>
      </c>
      <c r="B1826" t="s">
        <v>1</v>
      </c>
      <c r="C1826">
        <v>1</v>
      </c>
      <c r="D1826">
        <v>15.5</v>
      </c>
      <c r="E1826">
        <v>15.5</v>
      </c>
      <c r="F1826" s="1">
        <v>45724</v>
      </c>
      <c r="G1826" s="1">
        <v>45726</v>
      </c>
      <c r="H1826" t="s">
        <v>8</v>
      </c>
      <c r="I1826" t="s">
        <v>3</v>
      </c>
      <c r="J1826">
        <v>4</v>
      </c>
      <c r="K1826" t="s">
        <v>4</v>
      </c>
      <c r="L1826" t="s">
        <v>18</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1912</v>
      </c>
      <c r="B1827" t="s">
        <v>17</v>
      </c>
      <c r="C1827">
        <v>4</v>
      </c>
      <c r="D1827">
        <v>35.200000000000003</v>
      </c>
      <c r="E1827">
        <v>140.80000000000001</v>
      </c>
      <c r="F1827" s="1">
        <v>45724</v>
      </c>
      <c r="G1827" s="1">
        <v>45725</v>
      </c>
      <c r="H1827" t="s">
        <v>12</v>
      </c>
      <c r="I1827" t="s">
        <v>25</v>
      </c>
      <c r="J1827">
        <v>5</v>
      </c>
      <c r="K1827" t="s">
        <v>4</v>
      </c>
      <c r="L1827" t="s">
        <v>18</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1913</v>
      </c>
      <c r="B1828" t="s">
        <v>29</v>
      </c>
      <c r="C1828">
        <v>6</v>
      </c>
      <c r="D1828">
        <v>34.6</v>
      </c>
      <c r="E1828">
        <v>207.60000000000002</v>
      </c>
      <c r="F1828" s="1">
        <v>45724</v>
      </c>
      <c r="G1828" s="1">
        <v>45725</v>
      </c>
      <c r="H1828" t="s">
        <v>2</v>
      </c>
      <c r="I1828" t="s">
        <v>3</v>
      </c>
      <c r="J1828">
        <v>3</v>
      </c>
      <c r="K1828" t="s">
        <v>4</v>
      </c>
      <c r="L1828" t="s">
        <v>18</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1914</v>
      </c>
      <c r="B1829" t="s">
        <v>17</v>
      </c>
      <c r="C1829">
        <v>1</v>
      </c>
      <c r="D1829">
        <v>21.3</v>
      </c>
      <c r="E1829">
        <v>21.3</v>
      </c>
      <c r="F1829" s="1">
        <v>45725</v>
      </c>
      <c r="G1829" s="1">
        <v>45726</v>
      </c>
      <c r="H1829" t="s">
        <v>8</v>
      </c>
      <c r="I1829" t="s">
        <v>25</v>
      </c>
      <c r="J1829">
        <v>3</v>
      </c>
      <c r="K1829" t="s">
        <v>4</v>
      </c>
      <c r="L1829" t="s">
        <v>18</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1915</v>
      </c>
      <c r="B1830" t="s">
        <v>24</v>
      </c>
      <c r="C1830">
        <v>2</v>
      </c>
      <c r="D1830">
        <v>136.5</v>
      </c>
      <c r="E1830">
        <v>273</v>
      </c>
      <c r="F1830" s="1">
        <v>45725</v>
      </c>
      <c r="G1830" s="1">
        <v>45731</v>
      </c>
      <c r="H1830" t="s">
        <v>12</v>
      </c>
      <c r="I1830" t="s">
        <v>3</v>
      </c>
      <c r="J1830">
        <v>4</v>
      </c>
      <c r="K1830" t="s">
        <v>4</v>
      </c>
      <c r="L1830" t="s">
        <v>349</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1916</v>
      </c>
      <c r="B1831" t="s">
        <v>31</v>
      </c>
      <c r="C1831">
        <v>7</v>
      </c>
      <c r="D1831">
        <v>30.7</v>
      </c>
      <c r="E1831">
        <v>214.9</v>
      </c>
      <c r="F1831" s="1">
        <v>45725</v>
      </c>
      <c r="G1831" s="1">
        <v>45726</v>
      </c>
      <c r="H1831" t="s">
        <v>8</v>
      </c>
      <c r="I1831" t="s">
        <v>25</v>
      </c>
      <c r="J1831">
        <v>5</v>
      </c>
      <c r="K1831" t="s">
        <v>4</v>
      </c>
      <c r="L1831" t="s">
        <v>173</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1917</v>
      </c>
      <c r="B1832" t="s">
        <v>7</v>
      </c>
      <c r="C1832">
        <v>2</v>
      </c>
      <c r="D1832">
        <v>61.6</v>
      </c>
      <c r="E1832">
        <v>123.2</v>
      </c>
      <c r="F1832" s="1">
        <v>45725</v>
      </c>
      <c r="G1832" s="1">
        <v>45726</v>
      </c>
      <c r="H1832" t="s">
        <v>12</v>
      </c>
      <c r="I1832" t="s">
        <v>25</v>
      </c>
      <c r="J1832">
        <v>5</v>
      </c>
      <c r="K1832" t="s">
        <v>4</v>
      </c>
      <c r="L1832" t="s">
        <v>143</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1918</v>
      </c>
      <c r="B1833" t="s">
        <v>24</v>
      </c>
      <c r="C1833">
        <v>4</v>
      </c>
      <c r="D1833">
        <v>54.3</v>
      </c>
      <c r="E1833">
        <v>217.2</v>
      </c>
      <c r="F1833" s="1">
        <v>45725</v>
      </c>
      <c r="G1833" s="1">
        <v>45727</v>
      </c>
      <c r="H1833" t="s">
        <v>2</v>
      </c>
      <c r="I1833" t="s">
        <v>55</v>
      </c>
      <c r="J1833">
        <v>4</v>
      </c>
      <c r="K1833" t="s">
        <v>4</v>
      </c>
      <c r="L1833" t="s">
        <v>44</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1919</v>
      </c>
      <c r="B1834" t="s">
        <v>7</v>
      </c>
      <c r="C1834">
        <v>2</v>
      </c>
      <c r="D1834">
        <v>44.1</v>
      </c>
      <c r="E1834">
        <v>88.2</v>
      </c>
      <c r="F1834" s="1">
        <v>45725</v>
      </c>
      <c r="G1834" s="1">
        <v>45737</v>
      </c>
      <c r="H1834" t="s">
        <v>12</v>
      </c>
      <c r="I1834" t="s">
        <v>3</v>
      </c>
      <c r="J1834">
        <v>5</v>
      </c>
      <c r="K1834" t="s">
        <v>4</v>
      </c>
      <c r="L1834" t="s">
        <v>47</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1920</v>
      </c>
      <c r="B1835" t="s">
        <v>29</v>
      </c>
      <c r="C1835">
        <v>4</v>
      </c>
      <c r="D1835">
        <v>43.5</v>
      </c>
      <c r="E1835">
        <v>174</v>
      </c>
      <c r="F1835" s="1">
        <v>45725</v>
      </c>
      <c r="G1835" s="1">
        <v>45731</v>
      </c>
      <c r="H1835" t="s">
        <v>8</v>
      </c>
      <c r="I1835" t="s">
        <v>36</v>
      </c>
      <c r="J1835">
        <v>4</v>
      </c>
      <c r="K1835" t="s">
        <v>4</v>
      </c>
      <c r="L1835" t="s">
        <v>47</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1921</v>
      </c>
      <c r="B1836" t="s">
        <v>29</v>
      </c>
      <c r="C1836">
        <v>3</v>
      </c>
      <c r="D1836">
        <v>48.2</v>
      </c>
      <c r="E1836">
        <v>144.60000000000002</v>
      </c>
      <c r="F1836" s="1">
        <v>45725</v>
      </c>
      <c r="G1836" s="1">
        <v>45729</v>
      </c>
      <c r="H1836" t="s">
        <v>8</v>
      </c>
      <c r="I1836" t="s">
        <v>36</v>
      </c>
      <c r="J1836">
        <v>3</v>
      </c>
      <c r="K1836" t="s">
        <v>4</v>
      </c>
      <c r="L1836" t="s">
        <v>47</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1922</v>
      </c>
      <c r="B1837" t="s">
        <v>156</v>
      </c>
      <c r="C1837">
        <v>1</v>
      </c>
      <c r="D1837">
        <v>13.7</v>
      </c>
      <c r="E1837">
        <v>13.7</v>
      </c>
      <c r="F1837" s="1">
        <v>45725</v>
      </c>
      <c r="G1837" s="1">
        <v>45726</v>
      </c>
      <c r="H1837" t="s">
        <v>12</v>
      </c>
      <c r="I1837" t="s">
        <v>25</v>
      </c>
      <c r="J1837">
        <v>5</v>
      </c>
      <c r="K1837" t="s">
        <v>4</v>
      </c>
      <c r="L1837" t="s">
        <v>47</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1923</v>
      </c>
      <c r="B1838" t="s">
        <v>11</v>
      </c>
      <c r="C1838">
        <v>2</v>
      </c>
      <c r="D1838">
        <v>110.5</v>
      </c>
      <c r="E1838">
        <v>221</v>
      </c>
      <c r="F1838" s="1">
        <v>45725</v>
      </c>
      <c r="G1838" s="1">
        <v>45726</v>
      </c>
      <c r="H1838" t="s">
        <v>12</v>
      </c>
      <c r="I1838" t="s">
        <v>3</v>
      </c>
      <c r="J1838">
        <v>3</v>
      </c>
      <c r="K1838" t="s">
        <v>4</v>
      </c>
      <c r="L1838" t="s">
        <v>47</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1924</v>
      </c>
      <c r="B1839" t="s">
        <v>29</v>
      </c>
      <c r="C1839">
        <v>3</v>
      </c>
      <c r="D1839">
        <v>26</v>
      </c>
      <c r="E1839">
        <v>78</v>
      </c>
      <c r="F1839" s="1">
        <v>45725</v>
      </c>
      <c r="G1839" s="1">
        <v>45730</v>
      </c>
      <c r="H1839" t="s">
        <v>12</v>
      </c>
      <c r="I1839" t="s">
        <v>20</v>
      </c>
      <c r="J1839">
        <v>3</v>
      </c>
      <c r="K1839" t="s">
        <v>4</v>
      </c>
      <c r="L1839" t="s">
        <v>47</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1925</v>
      </c>
      <c r="B1840" t="s">
        <v>11</v>
      </c>
      <c r="C1840">
        <v>10</v>
      </c>
      <c r="D1840">
        <v>140.69999999999999</v>
      </c>
      <c r="E1840">
        <v>1407</v>
      </c>
      <c r="F1840" s="1">
        <v>45725</v>
      </c>
      <c r="G1840" s="1">
        <v>45731</v>
      </c>
      <c r="H1840" t="s">
        <v>8</v>
      </c>
      <c r="I1840" t="s">
        <v>36</v>
      </c>
      <c r="J1840">
        <v>3</v>
      </c>
      <c r="K1840" t="s">
        <v>4</v>
      </c>
      <c r="L1840" t="s">
        <v>47</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1926</v>
      </c>
      <c r="B1841" t="s">
        <v>120</v>
      </c>
      <c r="C1841">
        <v>2</v>
      </c>
      <c r="D1841">
        <v>41.7</v>
      </c>
      <c r="E1841">
        <v>83.4</v>
      </c>
      <c r="F1841" s="1">
        <v>45725</v>
      </c>
      <c r="G1841" s="1">
        <v>45733</v>
      </c>
      <c r="H1841" t="s">
        <v>12</v>
      </c>
      <c r="I1841" t="s">
        <v>3</v>
      </c>
      <c r="J1841">
        <v>2</v>
      </c>
      <c r="K1841" t="s">
        <v>4</v>
      </c>
      <c r="L1841" t="s">
        <v>47</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1927</v>
      </c>
      <c r="B1842" t="s">
        <v>11</v>
      </c>
      <c r="C1842">
        <v>2</v>
      </c>
      <c r="D1842">
        <v>135.1</v>
      </c>
      <c r="E1842">
        <v>270.2</v>
      </c>
      <c r="F1842" s="1">
        <v>45725</v>
      </c>
      <c r="G1842" s="1">
        <v>45726</v>
      </c>
      <c r="H1842" t="s">
        <v>8</v>
      </c>
      <c r="I1842" t="s">
        <v>3</v>
      </c>
      <c r="J1842">
        <v>5</v>
      </c>
      <c r="K1842" t="s">
        <v>4</v>
      </c>
      <c r="L1842" t="s">
        <v>88</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1928</v>
      </c>
      <c r="B1843" t="s">
        <v>54</v>
      </c>
      <c r="C1843">
        <v>22</v>
      </c>
      <c r="D1843">
        <v>95.5</v>
      </c>
      <c r="E1843">
        <v>2101</v>
      </c>
      <c r="F1843" s="1">
        <v>45725</v>
      </c>
      <c r="G1843" s="1">
        <v>45726</v>
      </c>
      <c r="H1843" t="s">
        <v>12</v>
      </c>
      <c r="I1843" t="s">
        <v>55</v>
      </c>
      <c r="J1843">
        <v>2</v>
      </c>
      <c r="K1843" t="s">
        <v>4</v>
      </c>
      <c r="L1843" t="s">
        <v>186</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1929</v>
      </c>
      <c r="B1844" t="s">
        <v>108</v>
      </c>
      <c r="C1844">
        <v>1</v>
      </c>
      <c r="D1844">
        <v>25.5</v>
      </c>
      <c r="E1844">
        <v>25.5</v>
      </c>
      <c r="F1844" s="1">
        <v>45725</v>
      </c>
      <c r="G1844" s="1">
        <v>45728</v>
      </c>
      <c r="H1844" t="s">
        <v>2</v>
      </c>
      <c r="I1844" t="s">
        <v>25</v>
      </c>
      <c r="J1844">
        <v>5</v>
      </c>
      <c r="K1844" t="s">
        <v>4</v>
      </c>
      <c r="L1844" t="s">
        <v>62</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1930</v>
      </c>
      <c r="B1845" t="s">
        <v>7</v>
      </c>
      <c r="C1845">
        <v>1</v>
      </c>
      <c r="D1845">
        <v>42.6</v>
      </c>
      <c r="E1845">
        <v>42.6</v>
      </c>
      <c r="F1845" s="1">
        <v>45725</v>
      </c>
      <c r="G1845" s="1">
        <v>45729</v>
      </c>
      <c r="H1845" t="s">
        <v>12</v>
      </c>
      <c r="I1845" t="s">
        <v>3</v>
      </c>
      <c r="J1845">
        <v>4</v>
      </c>
      <c r="K1845" t="s">
        <v>4</v>
      </c>
      <c r="L1845" t="s">
        <v>62</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1931</v>
      </c>
      <c r="B1846" t="s">
        <v>29</v>
      </c>
      <c r="C1846">
        <v>15</v>
      </c>
      <c r="D1846">
        <v>32.4</v>
      </c>
      <c r="E1846">
        <v>486</v>
      </c>
      <c r="F1846" s="1">
        <v>45725</v>
      </c>
      <c r="G1846" s="1">
        <v>45726</v>
      </c>
      <c r="H1846" t="s">
        <v>8</v>
      </c>
      <c r="I1846" t="s">
        <v>20</v>
      </c>
      <c r="J1846">
        <v>3</v>
      </c>
      <c r="K1846" t="s">
        <v>4</v>
      </c>
      <c r="L1846" t="s">
        <v>62</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1932</v>
      </c>
      <c r="B1847" t="s">
        <v>17</v>
      </c>
      <c r="C1847">
        <v>4</v>
      </c>
      <c r="D1847">
        <v>20.2</v>
      </c>
      <c r="E1847">
        <v>80.8</v>
      </c>
      <c r="F1847" s="1">
        <v>45725</v>
      </c>
      <c r="G1847" s="1">
        <v>45726</v>
      </c>
      <c r="H1847" t="s">
        <v>74</v>
      </c>
      <c r="I1847" t="s">
        <v>25</v>
      </c>
      <c r="J1847">
        <v>4</v>
      </c>
      <c r="K1847" t="s">
        <v>4</v>
      </c>
      <c r="L1847" t="s">
        <v>62</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1933</v>
      </c>
      <c r="B1848" t="s">
        <v>113</v>
      </c>
      <c r="C1848">
        <v>3</v>
      </c>
      <c r="D1848">
        <v>52.5</v>
      </c>
      <c r="E1848">
        <v>157.5</v>
      </c>
      <c r="F1848" s="1">
        <v>45725</v>
      </c>
      <c r="G1848" s="1">
        <v>45730</v>
      </c>
      <c r="H1848" t="s">
        <v>12</v>
      </c>
      <c r="I1848" t="s">
        <v>55</v>
      </c>
      <c r="J1848">
        <v>4</v>
      </c>
      <c r="K1848" t="s">
        <v>4</v>
      </c>
      <c r="L1848" t="s">
        <v>93</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1934</v>
      </c>
      <c r="B1849" t="s">
        <v>11</v>
      </c>
      <c r="C1849">
        <v>5</v>
      </c>
      <c r="D1849">
        <v>59.9</v>
      </c>
      <c r="E1849">
        <v>299.5</v>
      </c>
      <c r="F1849" s="1">
        <v>45725</v>
      </c>
      <c r="G1849" s="1">
        <v>45727</v>
      </c>
      <c r="H1849" t="s">
        <v>12</v>
      </c>
      <c r="I1849" t="s">
        <v>25</v>
      </c>
      <c r="J1849">
        <v>4</v>
      </c>
      <c r="K1849" t="s">
        <v>4</v>
      </c>
      <c r="L1849" t="s">
        <v>95</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1935</v>
      </c>
      <c r="B1850" t="s">
        <v>17</v>
      </c>
      <c r="C1850">
        <v>2</v>
      </c>
      <c r="D1850">
        <v>53.2</v>
      </c>
      <c r="E1850">
        <v>106.4</v>
      </c>
      <c r="F1850" s="1">
        <v>45725</v>
      </c>
      <c r="G1850" s="1">
        <v>45726</v>
      </c>
      <c r="H1850" t="s">
        <v>12</v>
      </c>
      <c r="I1850" t="s">
        <v>20</v>
      </c>
      <c r="J1850">
        <v>1</v>
      </c>
      <c r="K1850" t="s">
        <v>4</v>
      </c>
      <c r="L1850" t="s">
        <v>98</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1936</v>
      </c>
      <c r="B1851" t="s">
        <v>11</v>
      </c>
      <c r="C1851">
        <v>2</v>
      </c>
      <c r="D1851">
        <v>60</v>
      </c>
      <c r="E1851">
        <v>120</v>
      </c>
      <c r="F1851" s="1">
        <v>45725</v>
      </c>
      <c r="G1851" s="1">
        <v>45731</v>
      </c>
      <c r="H1851" t="s">
        <v>8</v>
      </c>
      <c r="I1851" t="s">
        <v>20</v>
      </c>
      <c r="J1851">
        <v>5</v>
      </c>
      <c r="K1851" t="s">
        <v>4</v>
      </c>
      <c r="L1851" t="s">
        <v>98</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1937</v>
      </c>
      <c r="B1852" t="s">
        <v>29</v>
      </c>
      <c r="C1852">
        <v>3</v>
      </c>
      <c r="D1852">
        <v>29.3</v>
      </c>
      <c r="E1852">
        <v>87.9</v>
      </c>
      <c r="F1852" s="1">
        <v>45725</v>
      </c>
      <c r="G1852" s="1">
        <v>45726</v>
      </c>
      <c r="H1852" t="s">
        <v>12</v>
      </c>
      <c r="I1852" t="s">
        <v>55</v>
      </c>
      <c r="J1852">
        <v>4</v>
      </c>
      <c r="K1852" t="s">
        <v>4</v>
      </c>
      <c r="L1852" t="s">
        <v>67</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1938</v>
      </c>
      <c r="B1853" t="s">
        <v>54</v>
      </c>
      <c r="C1853">
        <v>2</v>
      </c>
      <c r="D1853">
        <v>55.4</v>
      </c>
      <c r="E1853">
        <v>110.8</v>
      </c>
      <c r="F1853" s="1">
        <v>45725</v>
      </c>
      <c r="G1853" s="1">
        <v>45726</v>
      </c>
      <c r="H1853" t="s">
        <v>12</v>
      </c>
      <c r="I1853" t="s">
        <v>3</v>
      </c>
      <c r="J1853">
        <v>5</v>
      </c>
      <c r="K1853" t="s">
        <v>4</v>
      </c>
      <c r="L1853" t="s">
        <v>100</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1939</v>
      </c>
      <c r="B1854" t="s">
        <v>1</v>
      </c>
      <c r="C1854">
        <v>5</v>
      </c>
      <c r="D1854">
        <v>20.100000000000001</v>
      </c>
      <c r="E1854">
        <v>100.5</v>
      </c>
      <c r="F1854" s="1">
        <v>45725</v>
      </c>
      <c r="G1854" s="1">
        <v>45727</v>
      </c>
      <c r="H1854" t="s">
        <v>12</v>
      </c>
      <c r="I1854" t="s">
        <v>20</v>
      </c>
      <c r="J1854">
        <v>5</v>
      </c>
      <c r="K1854" t="s">
        <v>4</v>
      </c>
      <c r="L1854" t="s">
        <v>100</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1940</v>
      </c>
      <c r="B1855" t="s">
        <v>66</v>
      </c>
      <c r="C1855">
        <v>5</v>
      </c>
      <c r="D1855">
        <v>24</v>
      </c>
      <c r="E1855">
        <v>120</v>
      </c>
      <c r="F1855" s="1">
        <v>45725</v>
      </c>
      <c r="G1855" s="1">
        <v>45728</v>
      </c>
      <c r="H1855" t="s">
        <v>8</v>
      </c>
      <c r="I1855" t="s">
        <v>25</v>
      </c>
      <c r="J1855">
        <v>4</v>
      </c>
      <c r="K1855" t="s">
        <v>4</v>
      </c>
      <c r="L1855" t="s">
        <v>9</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1941</v>
      </c>
      <c r="B1856" t="s">
        <v>29</v>
      </c>
      <c r="C1856">
        <v>2</v>
      </c>
      <c r="D1856">
        <v>30.6</v>
      </c>
      <c r="E1856">
        <v>61.2</v>
      </c>
      <c r="F1856" s="1">
        <v>45726</v>
      </c>
      <c r="G1856" s="1">
        <v>45728</v>
      </c>
      <c r="H1856" t="s">
        <v>12</v>
      </c>
      <c r="I1856" t="s">
        <v>3</v>
      </c>
      <c r="J1856">
        <v>4</v>
      </c>
      <c r="K1856" t="s">
        <v>4</v>
      </c>
      <c r="L1856" t="s">
        <v>9</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1942</v>
      </c>
      <c r="B1857" t="s">
        <v>39</v>
      </c>
      <c r="C1857">
        <v>5</v>
      </c>
      <c r="D1857">
        <v>33</v>
      </c>
      <c r="E1857">
        <v>165</v>
      </c>
      <c r="F1857" s="1">
        <v>45726</v>
      </c>
      <c r="G1857" s="1">
        <v>45727</v>
      </c>
      <c r="H1857" t="s">
        <v>8</v>
      </c>
      <c r="I1857" t="s">
        <v>20</v>
      </c>
      <c r="J1857">
        <v>3</v>
      </c>
      <c r="K1857" t="s">
        <v>4</v>
      </c>
      <c r="L1857" t="s">
        <v>193</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1943</v>
      </c>
      <c r="B1858" t="s">
        <v>120</v>
      </c>
      <c r="C1858">
        <v>9</v>
      </c>
      <c r="D1858">
        <v>42.1</v>
      </c>
      <c r="E1858">
        <v>378.90000000000003</v>
      </c>
      <c r="F1858" s="1">
        <v>45726</v>
      </c>
      <c r="G1858" s="1">
        <v>45732</v>
      </c>
      <c r="H1858" t="s">
        <v>12</v>
      </c>
      <c r="I1858" t="s">
        <v>25</v>
      </c>
      <c r="J1858">
        <v>4</v>
      </c>
      <c r="K1858" t="s">
        <v>4</v>
      </c>
      <c r="L1858" t="s">
        <v>572</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1944</v>
      </c>
      <c r="B1859" t="s">
        <v>24</v>
      </c>
      <c r="C1859">
        <v>7</v>
      </c>
      <c r="D1859">
        <v>77.7</v>
      </c>
      <c r="E1859">
        <v>543.9</v>
      </c>
      <c r="F1859" s="1">
        <v>45726</v>
      </c>
      <c r="G1859" s="1">
        <v>45731</v>
      </c>
      <c r="H1859" t="s">
        <v>12</v>
      </c>
      <c r="I1859" t="s">
        <v>20</v>
      </c>
      <c r="J1859">
        <v>5</v>
      </c>
      <c r="K1859" t="s">
        <v>4</v>
      </c>
      <c r="L1859" t="s">
        <v>934</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1945</v>
      </c>
      <c r="B1860" t="s">
        <v>120</v>
      </c>
      <c r="C1860">
        <v>6</v>
      </c>
      <c r="D1860">
        <v>22.7</v>
      </c>
      <c r="E1860">
        <v>136.19999999999999</v>
      </c>
      <c r="F1860" s="1">
        <v>45726</v>
      </c>
      <c r="G1860" s="1">
        <v>45729</v>
      </c>
      <c r="H1860" t="s">
        <v>12</v>
      </c>
      <c r="I1860" t="s">
        <v>25</v>
      </c>
      <c r="J1860">
        <v>4</v>
      </c>
      <c r="K1860" t="s">
        <v>4</v>
      </c>
      <c r="L1860" t="s">
        <v>18</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1946</v>
      </c>
      <c r="B1861" t="s">
        <v>11</v>
      </c>
      <c r="C1861">
        <v>2</v>
      </c>
      <c r="D1861">
        <v>133</v>
      </c>
      <c r="E1861">
        <v>266</v>
      </c>
      <c r="F1861" s="1">
        <v>45726</v>
      </c>
      <c r="G1861" s="1">
        <v>45726</v>
      </c>
      <c r="H1861" t="s">
        <v>8</v>
      </c>
      <c r="I1861" t="s">
        <v>25</v>
      </c>
      <c r="J1861">
        <v>5</v>
      </c>
      <c r="K1861" t="s">
        <v>4</v>
      </c>
      <c r="L1861" t="s">
        <v>18</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1947</v>
      </c>
      <c r="B1862" t="s">
        <v>1</v>
      </c>
      <c r="C1862">
        <v>2</v>
      </c>
      <c r="D1862">
        <v>23.3</v>
      </c>
      <c r="E1862">
        <v>46.6</v>
      </c>
      <c r="F1862" s="1">
        <v>45726</v>
      </c>
      <c r="G1862" s="1">
        <v>45727</v>
      </c>
      <c r="H1862" t="s">
        <v>8</v>
      </c>
      <c r="I1862" t="s">
        <v>20</v>
      </c>
      <c r="J1862">
        <v>5</v>
      </c>
      <c r="K1862" t="s">
        <v>4</v>
      </c>
      <c r="L1862" t="s">
        <v>18</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1948</v>
      </c>
      <c r="B1863" t="s">
        <v>29</v>
      </c>
      <c r="C1863">
        <v>3</v>
      </c>
      <c r="D1863">
        <v>20.7</v>
      </c>
      <c r="E1863">
        <v>62.099999999999994</v>
      </c>
      <c r="F1863" s="1">
        <v>45726</v>
      </c>
      <c r="G1863" s="1">
        <v>45728</v>
      </c>
      <c r="H1863" t="s">
        <v>74</v>
      </c>
      <c r="I1863" t="s">
        <v>3</v>
      </c>
      <c r="J1863">
        <v>5</v>
      </c>
      <c r="K1863" t="s">
        <v>4</v>
      </c>
      <c r="L1863" t="s">
        <v>18</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1949</v>
      </c>
      <c r="B1864" t="s">
        <v>54</v>
      </c>
      <c r="C1864">
        <v>2</v>
      </c>
      <c r="D1864">
        <v>47</v>
      </c>
      <c r="E1864">
        <v>94</v>
      </c>
      <c r="F1864" s="1">
        <v>45726</v>
      </c>
      <c r="G1864" s="1">
        <v>45727</v>
      </c>
      <c r="H1864" t="s">
        <v>8</v>
      </c>
      <c r="I1864" t="s">
        <v>20</v>
      </c>
      <c r="J1864">
        <v>5</v>
      </c>
      <c r="K1864" t="s">
        <v>4</v>
      </c>
      <c r="L1864" t="s">
        <v>18</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1950</v>
      </c>
      <c r="B1865" t="s">
        <v>54</v>
      </c>
      <c r="C1865">
        <v>3</v>
      </c>
      <c r="D1865">
        <v>38.200000000000003</v>
      </c>
      <c r="E1865">
        <v>114.60000000000001</v>
      </c>
      <c r="F1865" s="1">
        <v>45726</v>
      </c>
      <c r="G1865" s="1">
        <v>45728</v>
      </c>
      <c r="H1865" t="s">
        <v>12</v>
      </c>
      <c r="I1865" t="s">
        <v>25</v>
      </c>
      <c r="J1865">
        <v>2</v>
      </c>
      <c r="K1865" t="s">
        <v>4</v>
      </c>
      <c r="L1865" t="s">
        <v>18</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1951</v>
      </c>
      <c r="B1866" t="s">
        <v>31</v>
      </c>
      <c r="C1866">
        <v>1</v>
      </c>
      <c r="D1866">
        <v>39.1</v>
      </c>
      <c r="E1866">
        <v>39.1</v>
      </c>
      <c r="F1866" s="1">
        <v>45726</v>
      </c>
      <c r="G1866" s="1">
        <v>45728</v>
      </c>
      <c r="H1866" t="s">
        <v>12</v>
      </c>
      <c r="I1866" t="s">
        <v>3</v>
      </c>
      <c r="J1866">
        <v>4</v>
      </c>
      <c r="K1866" t="s">
        <v>4</v>
      </c>
      <c r="L1866" t="s">
        <v>18</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1952</v>
      </c>
      <c r="B1867" t="s">
        <v>27</v>
      </c>
      <c r="C1867">
        <v>25</v>
      </c>
      <c r="D1867">
        <v>55.6</v>
      </c>
      <c r="E1867">
        <v>1390</v>
      </c>
      <c r="F1867" s="1">
        <v>45726</v>
      </c>
      <c r="G1867" s="1">
        <v>45728</v>
      </c>
      <c r="H1867" t="s">
        <v>8</v>
      </c>
      <c r="I1867" t="s">
        <v>3</v>
      </c>
      <c r="J1867">
        <v>5</v>
      </c>
      <c r="K1867" t="s">
        <v>4</v>
      </c>
      <c r="L1867" t="s">
        <v>18</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1953</v>
      </c>
      <c r="B1868" t="s">
        <v>108</v>
      </c>
      <c r="C1868">
        <v>1</v>
      </c>
      <c r="D1868">
        <v>43.1</v>
      </c>
      <c r="E1868">
        <v>43.1</v>
      </c>
      <c r="F1868" s="1">
        <v>45726</v>
      </c>
      <c r="G1868" s="1">
        <v>45726</v>
      </c>
      <c r="H1868" t="s">
        <v>74</v>
      </c>
      <c r="I1868" t="s">
        <v>20</v>
      </c>
      <c r="J1868">
        <v>5</v>
      </c>
      <c r="K1868" t="s">
        <v>4</v>
      </c>
      <c r="L1868" t="s">
        <v>18</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1954</v>
      </c>
      <c r="B1869" t="s">
        <v>24</v>
      </c>
      <c r="C1869">
        <v>4</v>
      </c>
      <c r="D1869">
        <v>48.1</v>
      </c>
      <c r="E1869">
        <v>192.4</v>
      </c>
      <c r="F1869" s="1">
        <v>45726</v>
      </c>
      <c r="G1869" s="1">
        <v>45727</v>
      </c>
      <c r="H1869" t="s">
        <v>12</v>
      </c>
      <c r="I1869" t="s">
        <v>55</v>
      </c>
      <c r="J1869">
        <v>5</v>
      </c>
      <c r="K1869" t="s">
        <v>4</v>
      </c>
      <c r="L1869" t="s">
        <v>18</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1955</v>
      </c>
      <c r="B1870" t="s">
        <v>17</v>
      </c>
      <c r="C1870">
        <v>1</v>
      </c>
      <c r="D1870">
        <v>42</v>
      </c>
      <c r="E1870">
        <v>42</v>
      </c>
      <c r="F1870" s="1">
        <v>45726</v>
      </c>
      <c r="G1870" s="1">
        <v>45727</v>
      </c>
      <c r="H1870" t="s">
        <v>74</v>
      </c>
      <c r="I1870" t="s">
        <v>3</v>
      </c>
      <c r="J1870">
        <v>4</v>
      </c>
      <c r="K1870" t="s">
        <v>4</v>
      </c>
      <c r="L1870" t="s">
        <v>18</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1956</v>
      </c>
      <c r="B1871" t="s">
        <v>29</v>
      </c>
      <c r="C1871">
        <v>5</v>
      </c>
      <c r="D1871">
        <v>18.3</v>
      </c>
      <c r="E1871">
        <v>91.5</v>
      </c>
      <c r="F1871" s="1">
        <v>45726</v>
      </c>
      <c r="G1871" s="1">
        <v>45726</v>
      </c>
      <c r="H1871" t="s">
        <v>12</v>
      </c>
      <c r="I1871" t="s">
        <v>25</v>
      </c>
      <c r="J1871">
        <v>4</v>
      </c>
      <c r="K1871" t="s">
        <v>4</v>
      </c>
      <c r="L1871" t="s">
        <v>18</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1957</v>
      </c>
      <c r="B1872" t="s">
        <v>39</v>
      </c>
      <c r="C1872">
        <v>4</v>
      </c>
      <c r="D1872">
        <v>45.3</v>
      </c>
      <c r="E1872">
        <v>181.2</v>
      </c>
      <c r="F1872" s="1">
        <v>45726</v>
      </c>
      <c r="G1872" s="1">
        <v>45729</v>
      </c>
      <c r="H1872" t="s">
        <v>12</v>
      </c>
      <c r="I1872" t="s">
        <v>3</v>
      </c>
      <c r="J1872">
        <v>5</v>
      </c>
      <c r="K1872" t="s">
        <v>4</v>
      </c>
      <c r="L1872" t="s">
        <v>18</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1958</v>
      </c>
      <c r="B1873" t="s">
        <v>1</v>
      </c>
      <c r="C1873">
        <v>2</v>
      </c>
      <c r="D1873">
        <v>27.6</v>
      </c>
      <c r="E1873">
        <v>55.2</v>
      </c>
      <c r="F1873" s="1">
        <v>45726</v>
      </c>
      <c r="G1873" s="1">
        <v>45728</v>
      </c>
      <c r="H1873" t="s">
        <v>8</v>
      </c>
      <c r="I1873" t="s">
        <v>3</v>
      </c>
      <c r="J1873">
        <v>5</v>
      </c>
      <c r="K1873" t="s">
        <v>4</v>
      </c>
      <c r="L1873" t="s">
        <v>349</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1959</v>
      </c>
      <c r="B1874" t="s">
        <v>17</v>
      </c>
      <c r="C1874">
        <v>5</v>
      </c>
      <c r="D1874">
        <v>26.9</v>
      </c>
      <c r="E1874">
        <v>134.5</v>
      </c>
      <c r="F1874" s="1">
        <v>45726</v>
      </c>
      <c r="G1874" s="1">
        <v>45727</v>
      </c>
      <c r="H1874" t="s">
        <v>12</v>
      </c>
      <c r="I1874" t="s">
        <v>25</v>
      </c>
      <c r="J1874">
        <v>4</v>
      </c>
      <c r="K1874" t="s">
        <v>4</v>
      </c>
      <c r="L1874" t="s">
        <v>173</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1960</v>
      </c>
      <c r="B1875" t="s">
        <v>11</v>
      </c>
      <c r="C1875">
        <v>9</v>
      </c>
      <c r="D1875">
        <v>82.4</v>
      </c>
      <c r="E1875">
        <v>741.6</v>
      </c>
      <c r="F1875" s="1">
        <v>45726</v>
      </c>
      <c r="G1875" s="1">
        <v>45728</v>
      </c>
      <c r="H1875" t="s">
        <v>74</v>
      </c>
      <c r="I1875" t="s">
        <v>25</v>
      </c>
      <c r="J1875">
        <v>4</v>
      </c>
      <c r="K1875" t="s">
        <v>4</v>
      </c>
      <c r="L1875" t="s">
        <v>37</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1961</v>
      </c>
      <c r="B1876" t="s">
        <v>24</v>
      </c>
      <c r="C1876">
        <v>1</v>
      </c>
      <c r="D1876">
        <v>103.7</v>
      </c>
      <c r="E1876">
        <v>103.7</v>
      </c>
      <c r="F1876" s="1">
        <v>45726</v>
      </c>
      <c r="G1876" s="1">
        <v>45728</v>
      </c>
      <c r="H1876" t="s">
        <v>12</v>
      </c>
      <c r="I1876" t="s">
        <v>20</v>
      </c>
      <c r="J1876">
        <v>4</v>
      </c>
      <c r="K1876" t="s">
        <v>4</v>
      </c>
      <c r="L1876" t="s">
        <v>37</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1962</v>
      </c>
      <c r="B1877" t="s">
        <v>11</v>
      </c>
      <c r="C1877">
        <v>2</v>
      </c>
      <c r="D1877">
        <v>58.8</v>
      </c>
      <c r="E1877">
        <v>117.6</v>
      </c>
      <c r="F1877" s="1">
        <v>45726</v>
      </c>
      <c r="G1877" s="1">
        <v>45731</v>
      </c>
      <c r="H1877" t="s">
        <v>12</v>
      </c>
      <c r="I1877" t="s">
        <v>20</v>
      </c>
      <c r="J1877">
        <v>5</v>
      </c>
      <c r="K1877" t="s">
        <v>4</v>
      </c>
      <c r="L1877" t="s">
        <v>40</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1963</v>
      </c>
      <c r="B1878" t="s">
        <v>61</v>
      </c>
      <c r="C1878">
        <v>1</v>
      </c>
      <c r="D1878">
        <v>31.5</v>
      </c>
      <c r="E1878">
        <v>31.5</v>
      </c>
      <c r="F1878" s="1">
        <v>45726</v>
      </c>
      <c r="G1878" s="1">
        <v>45727</v>
      </c>
      <c r="H1878" t="s">
        <v>12</v>
      </c>
      <c r="I1878" t="s">
        <v>20</v>
      </c>
      <c r="J1878">
        <v>3</v>
      </c>
      <c r="K1878" t="s">
        <v>4</v>
      </c>
      <c r="L1878" t="s">
        <v>40</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1964</v>
      </c>
      <c r="B1879" t="s">
        <v>27</v>
      </c>
      <c r="C1879">
        <v>5</v>
      </c>
      <c r="D1879">
        <v>36.799999999999997</v>
      </c>
      <c r="E1879">
        <v>184</v>
      </c>
      <c r="F1879" s="1">
        <v>45726</v>
      </c>
      <c r="G1879" s="1">
        <v>45728</v>
      </c>
      <c r="H1879" t="s">
        <v>12</v>
      </c>
      <c r="I1879" t="s">
        <v>3</v>
      </c>
      <c r="J1879">
        <v>4</v>
      </c>
      <c r="K1879" t="s">
        <v>4</v>
      </c>
      <c r="L1879" t="s">
        <v>47</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1965</v>
      </c>
      <c r="B1880" t="s">
        <v>15</v>
      </c>
      <c r="C1880">
        <v>1</v>
      </c>
      <c r="D1880">
        <v>84.4</v>
      </c>
      <c r="E1880">
        <v>84.4</v>
      </c>
      <c r="F1880" s="1">
        <v>45726</v>
      </c>
      <c r="G1880" s="1">
        <v>45727</v>
      </c>
      <c r="H1880" t="s">
        <v>12</v>
      </c>
      <c r="I1880" t="s">
        <v>3</v>
      </c>
      <c r="J1880">
        <v>4</v>
      </c>
      <c r="K1880" t="s">
        <v>4</v>
      </c>
      <c r="L1880" t="s">
        <v>47</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1966</v>
      </c>
      <c r="B1881" t="s">
        <v>66</v>
      </c>
      <c r="C1881">
        <v>1</v>
      </c>
      <c r="D1881">
        <v>44.7</v>
      </c>
      <c r="E1881">
        <v>44.7</v>
      </c>
      <c r="F1881" s="1">
        <v>45726</v>
      </c>
      <c r="G1881" s="1">
        <v>45727</v>
      </c>
      <c r="H1881" t="s">
        <v>8</v>
      </c>
      <c r="I1881" t="s">
        <v>3</v>
      </c>
      <c r="J1881">
        <v>3</v>
      </c>
      <c r="K1881" t="s">
        <v>4</v>
      </c>
      <c r="L1881" t="s">
        <v>47</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1967</v>
      </c>
      <c r="B1882" t="s">
        <v>31</v>
      </c>
      <c r="C1882">
        <v>8</v>
      </c>
      <c r="D1882">
        <v>39.4</v>
      </c>
      <c r="E1882">
        <v>315.2</v>
      </c>
      <c r="F1882" s="1">
        <v>45726</v>
      </c>
      <c r="G1882" s="1">
        <v>45727</v>
      </c>
      <c r="H1882" t="s">
        <v>12</v>
      </c>
      <c r="I1882" t="s">
        <v>20</v>
      </c>
      <c r="J1882">
        <v>5</v>
      </c>
      <c r="K1882" t="s">
        <v>4</v>
      </c>
      <c r="L1882" t="s">
        <v>47</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1968</v>
      </c>
      <c r="B1883" t="s">
        <v>52</v>
      </c>
      <c r="C1883">
        <v>4</v>
      </c>
      <c r="D1883">
        <v>34.9</v>
      </c>
      <c r="E1883">
        <v>139.6</v>
      </c>
      <c r="F1883" s="1">
        <v>45726</v>
      </c>
      <c r="G1883" s="1">
        <v>45728</v>
      </c>
      <c r="H1883" t="s">
        <v>12</v>
      </c>
      <c r="I1883" t="s">
        <v>3</v>
      </c>
      <c r="J1883">
        <v>5</v>
      </c>
      <c r="K1883" t="s">
        <v>4</v>
      </c>
      <c r="L1883" t="s">
        <v>47</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1969</v>
      </c>
      <c r="B1884" t="s">
        <v>7</v>
      </c>
      <c r="C1884">
        <v>3</v>
      </c>
      <c r="D1884">
        <v>62.3</v>
      </c>
      <c r="E1884">
        <v>186.89999999999998</v>
      </c>
      <c r="F1884" s="1">
        <v>45726</v>
      </c>
      <c r="G1884" s="1">
        <v>45728</v>
      </c>
      <c r="H1884" t="s">
        <v>8</v>
      </c>
      <c r="I1884" t="s">
        <v>55</v>
      </c>
      <c r="J1884">
        <v>5</v>
      </c>
      <c r="K1884" t="s">
        <v>4</v>
      </c>
      <c r="L1884" t="s">
        <v>47</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1970</v>
      </c>
      <c r="B1885" t="s">
        <v>29</v>
      </c>
      <c r="C1885">
        <v>4</v>
      </c>
      <c r="D1885">
        <v>21.1</v>
      </c>
      <c r="E1885">
        <v>84.4</v>
      </c>
      <c r="F1885" s="1">
        <v>45726</v>
      </c>
      <c r="G1885" s="1">
        <v>45729</v>
      </c>
      <c r="H1885" t="s">
        <v>8</v>
      </c>
      <c r="I1885" t="s">
        <v>36</v>
      </c>
      <c r="J1885">
        <v>4</v>
      </c>
      <c r="K1885" t="s">
        <v>4</v>
      </c>
      <c r="L1885" t="s">
        <v>47</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1971</v>
      </c>
      <c r="B1886" t="s">
        <v>29</v>
      </c>
      <c r="C1886">
        <v>3</v>
      </c>
      <c r="D1886">
        <v>33.200000000000003</v>
      </c>
      <c r="E1886">
        <v>99.600000000000009</v>
      </c>
      <c r="F1886" s="1">
        <v>45726</v>
      </c>
      <c r="G1886" s="1">
        <v>45740</v>
      </c>
      <c r="H1886" t="s">
        <v>2</v>
      </c>
      <c r="I1886" t="s">
        <v>3</v>
      </c>
      <c r="J1886">
        <v>2</v>
      </c>
      <c r="K1886" t="s">
        <v>4</v>
      </c>
      <c r="L1886" t="s">
        <v>47</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1972</v>
      </c>
      <c r="B1887" t="s">
        <v>7</v>
      </c>
      <c r="C1887">
        <v>4</v>
      </c>
      <c r="D1887">
        <v>74.5</v>
      </c>
      <c r="E1887">
        <v>298</v>
      </c>
      <c r="F1887" s="1">
        <v>45726</v>
      </c>
      <c r="G1887" s="1">
        <v>45727</v>
      </c>
      <c r="H1887" t="s">
        <v>8</v>
      </c>
      <c r="I1887" t="s">
        <v>55</v>
      </c>
      <c r="J1887">
        <v>4</v>
      </c>
      <c r="K1887" t="s">
        <v>4</v>
      </c>
      <c r="L1887" t="s">
        <v>47</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1973</v>
      </c>
      <c r="B1888" t="s">
        <v>39</v>
      </c>
      <c r="C1888">
        <v>12</v>
      </c>
      <c r="D1888">
        <v>68.599999999999994</v>
      </c>
      <c r="E1888">
        <v>823.19999999999993</v>
      </c>
      <c r="F1888" s="1">
        <v>45726</v>
      </c>
      <c r="G1888" s="1">
        <v>45729</v>
      </c>
      <c r="H1888" t="s">
        <v>12</v>
      </c>
      <c r="I1888" t="s">
        <v>3</v>
      </c>
      <c r="J1888">
        <v>5</v>
      </c>
      <c r="K1888" t="s">
        <v>4</v>
      </c>
      <c r="L1888" t="s">
        <v>47</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1974</v>
      </c>
      <c r="B1889" t="s">
        <v>22</v>
      </c>
      <c r="C1889">
        <v>14</v>
      </c>
      <c r="D1889">
        <v>36.4</v>
      </c>
      <c r="E1889">
        <v>509.59999999999997</v>
      </c>
      <c r="F1889" s="1">
        <v>45726</v>
      </c>
      <c r="G1889" s="1">
        <v>45728</v>
      </c>
      <c r="H1889" t="s">
        <v>12</v>
      </c>
      <c r="I1889" t="s">
        <v>3</v>
      </c>
      <c r="J1889">
        <v>3</v>
      </c>
      <c r="K1889" t="s">
        <v>4</v>
      </c>
      <c r="L1889" t="s">
        <v>57</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1975</v>
      </c>
      <c r="B1890" t="s">
        <v>113</v>
      </c>
      <c r="C1890">
        <v>5</v>
      </c>
      <c r="D1890">
        <v>67.599999999999994</v>
      </c>
      <c r="E1890">
        <v>338</v>
      </c>
      <c r="F1890" s="1">
        <v>45727</v>
      </c>
      <c r="G1890" s="1">
        <v>45730</v>
      </c>
      <c r="H1890" t="s">
        <v>12</v>
      </c>
      <c r="I1890" t="s">
        <v>55</v>
      </c>
      <c r="J1890">
        <v>3</v>
      </c>
      <c r="K1890" t="s">
        <v>4</v>
      </c>
      <c r="L1890" t="s">
        <v>57</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1976</v>
      </c>
      <c r="B1891" t="s">
        <v>108</v>
      </c>
      <c r="C1891">
        <v>1</v>
      </c>
      <c r="D1891">
        <v>46.3</v>
      </c>
      <c r="E1891">
        <v>46.3</v>
      </c>
      <c r="F1891" s="1">
        <v>45727</v>
      </c>
      <c r="G1891" s="1">
        <v>45728</v>
      </c>
      <c r="H1891" t="s">
        <v>8</v>
      </c>
      <c r="I1891" t="s">
        <v>25</v>
      </c>
      <c r="J1891">
        <v>4</v>
      </c>
      <c r="K1891" t="s">
        <v>4</v>
      </c>
      <c r="L1891" t="s">
        <v>57</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1977</v>
      </c>
      <c r="B1892" t="s">
        <v>7</v>
      </c>
      <c r="C1892">
        <v>3</v>
      </c>
      <c r="D1892">
        <v>124.2</v>
      </c>
      <c r="E1892">
        <v>372.6</v>
      </c>
      <c r="F1892" s="1">
        <v>45727</v>
      </c>
      <c r="G1892" s="1">
        <v>45729</v>
      </c>
      <c r="H1892" t="s">
        <v>12</v>
      </c>
      <c r="I1892" t="s">
        <v>20</v>
      </c>
      <c r="J1892">
        <v>5</v>
      </c>
      <c r="K1892" t="s">
        <v>4</v>
      </c>
      <c r="L1892" t="s">
        <v>62</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1978</v>
      </c>
      <c r="B1893" t="s">
        <v>39</v>
      </c>
      <c r="C1893">
        <v>2</v>
      </c>
      <c r="D1893">
        <v>37</v>
      </c>
      <c r="E1893">
        <v>74</v>
      </c>
      <c r="F1893" s="1">
        <v>45727</v>
      </c>
      <c r="G1893" s="1">
        <v>45733</v>
      </c>
      <c r="H1893" t="s">
        <v>8</v>
      </c>
      <c r="I1893" t="s">
        <v>3</v>
      </c>
      <c r="J1893">
        <v>4</v>
      </c>
      <c r="K1893" t="s">
        <v>4</v>
      </c>
      <c r="L1893" t="s">
        <v>62</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1979</v>
      </c>
      <c r="B1894" t="s">
        <v>22</v>
      </c>
      <c r="C1894">
        <v>1</v>
      </c>
      <c r="D1894">
        <v>41.8</v>
      </c>
      <c r="E1894">
        <v>41.8</v>
      </c>
      <c r="F1894" s="1">
        <v>45727</v>
      </c>
      <c r="G1894" s="1">
        <v>45728</v>
      </c>
      <c r="H1894" t="s">
        <v>8</v>
      </c>
      <c r="I1894" t="s">
        <v>25</v>
      </c>
      <c r="J1894">
        <v>4</v>
      </c>
      <c r="K1894" t="s">
        <v>4</v>
      </c>
      <c r="L1894" t="s">
        <v>277</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1980</v>
      </c>
      <c r="B1895" t="s">
        <v>31</v>
      </c>
      <c r="C1895">
        <v>2</v>
      </c>
      <c r="D1895">
        <v>57.2</v>
      </c>
      <c r="E1895">
        <v>114.4</v>
      </c>
      <c r="F1895" s="1">
        <v>45727</v>
      </c>
      <c r="G1895" s="1">
        <v>45729</v>
      </c>
      <c r="H1895" t="s">
        <v>8</v>
      </c>
      <c r="I1895" t="s">
        <v>25</v>
      </c>
      <c r="J1895">
        <v>3</v>
      </c>
      <c r="K1895" t="s">
        <v>4</v>
      </c>
      <c r="L1895" t="s">
        <v>98</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1981</v>
      </c>
      <c r="B1896" t="s">
        <v>24</v>
      </c>
      <c r="C1896">
        <v>2</v>
      </c>
      <c r="D1896">
        <v>47.1</v>
      </c>
      <c r="E1896">
        <v>94.2</v>
      </c>
      <c r="F1896" s="1">
        <v>45727</v>
      </c>
      <c r="G1896" s="1">
        <v>45729</v>
      </c>
      <c r="H1896" t="s">
        <v>12</v>
      </c>
      <c r="I1896" t="s">
        <v>3</v>
      </c>
      <c r="J1896">
        <v>2</v>
      </c>
      <c r="K1896" t="s">
        <v>4</v>
      </c>
      <c r="L1896" t="s">
        <v>98</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1982</v>
      </c>
      <c r="B1897" t="s">
        <v>22</v>
      </c>
      <c r="C1897">
        <v>3</v>
      </c>
      <c r="D1897">
        <v>86.4</v>
      </c>
      <c r="E1897">
        <v>259.20000000000005</v>
      </c>
      <c r="F1897" s="1">
        <v>45727</v>
      </c>
      <c r="G1897" s="1">
        <v>45728</v>
      </c>
      <c r="H1897" t="s">
        <v>8</v>
      </c>
      <c r="I1897" t="s">
        <v>25</v>
      </c>
      <c r="J1897">
        <v>3</v>
      </c>
      <c r="K1897" t="s">
        <v>4</v>
      </c>
      <c r="L1897" t="s">
        <v>982</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1983</v>
      </c>
      <c r="B1898" t="s">
        <v>24</v>
      </c>
      <c r="C1898">
        <v>5</v>
      </c>
      <c r="D1898">
        <v>105</v>
      </c>
      <c r="E1898">
        <v>525</v>
      </c>
      <c r="F1898" s="1">
        <v>45727</v>
      </c>
      <c r="G1898" s="1">
        <v>45730</v>
      </c>
      <c r="H1898" t="s">
        <v>8</v>
      </c>
      <c r="I1898" t="s">
        <v>3</v>
      </c>
      <c r="J1898">
        <v>4</v>
      </c>
      <c r="K1898" t="s">
        <v>4</v>
      </c>
      <c r="L1898" t="s">
        <v>67</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1984</v>
      </c>
      <c r="B1899" t="s">
        <v>131</v>
      </c>
      <c r="C1899">
        <v>1</v>
      </c>
      <c r="D1899">
        <v>33</v>
      </c>
      <c r="E1899">
        <v>33</v>
      </c>
      <c r="F1899" s="1">
        <v>45727</v>
      </c>
      <c r="G1899" s="1">
        <v>45730</v>
      </c>
      <c r="H1899" t="s">
        <v>8</v>
      </c>
      <c r="I1899" t="s">
        <v>55</v>
      </c>
      <c r="J1899">
        <v>4</v>
      </c>
      <c r="K1899" t="s">
        <v>4</v>
      </c>
      <c r="L1899" t="s">
        <v>100</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1985</v>
      </c>
      <c r="B1900" t="s">
        <v>24</v>
      </c>
      <c r="C1900">
        <v>5</v>
      </c>
      <c r="D1900">
        <v>106.6</v>
      </c>
      <c r="E1900">
        <v>533</v>
      </c>
      <c r="F1900" s="1">
        <v>45727</v>
      </c>
      <c r="G1900" s="1">
        <v>45740</v>
      </c>
      <c r="H1900" t="s">
        <v>12</v>
      </c>
      <c r="I1900" t="s">
        <v>25</v>
      </c>
      <c r="J1900">
        <v>4</v>
      </c>
      <c r="K1900" t="s">
        <v>4</v>
      </c>
      <c r="L1900" t="s">
        <v>9</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1986</v>
      </c>
      <c r="B1901" t="s">
        <v>39</v>
      </c>
      <c r="C1901">
        <v>32</v>
      </c>
      <c r="D1901">
        <v>26.8</v>
      </c>
      <c r="E1901">
        <v>857.6</v>
      </c>
      <c r="F1901" s="1">
        <v>45727</v>
      </c>
      <c r="G1901" s="1">
        <v>45728</v>
      </c>
      <c r="H1901" t="s">
        <v>12</v>
      </c>
      <c r="I1901" t="s">
        <v>25</v>
      </c>
      <c r="J1901">
        <v>4</v>
      </c>
      <c r="K1901" t="s">
        <v>4</v>
      </c>
      <c r="L1901" t="s">
        <v>9</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1987</v>
      </c>
      <c r="B1902" t="s">
        <v>120</v>
      </c>
      <c r="C1902">
        <v>5</v>
      </c>
      <c r="D1902">
        <v>25.8</v>
      </c>
      <c r="E1902">
        <v>129</v>
      </c>
      <c r="F1902" s="1">
        <v>45727</v>
      </c>
      <c r="G1902" s="1">
        <v>45727</v>
      </c>
      <c r="H1902" t="s">
        <v>12</v>
      </c>
      <c r="I1902" t="s">
        <v>20</v>
      </c>
      <c r="J1902">
        <v>5</v>
      </c>
      <c r="K1902" t="s">
        <v>4</v>
      </c>
      <c r="L1902" t="s">
        <v>18</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1988</v>
      </c>
      <c r="B1903" t="s">
        <v>11</v>
      </c>
      <c r="C1903">
        <v>3</v>
      </c>
      <c r="D1903">
        <v>217</v>
      </c>
      <c r="E1903">
        <v>651</v>
      </c>
      <c r="F1903" s="1">
        <v>45727</v>
      </c>
      <c r="G1903" s="1">
        <v>45728</v>
      </c>
      <c r="H1903" t="s">
        <v>12</v>
      </c>
      <c r="I1903" t="s">
        <v>20</v>
      </c>
      <c r="J1903">
        <v>3</v>
      </c>
      <c r="K1903" t="s">
        <v>4</v>
      </c>
      <c r="L1903" t="s">
        <v>18</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1989</v>
      </c>
      <c r="B1904" t="s">
        <v>11</v>
      </c>
      <c r="C1904">
        <v>2</v>
      </c>
      <c r="D1904">
        <v>97.3</v>
      </c>
      <c r="E1904">
        <v>194.6</v>
      </c>
      <c r="F1904" s="1">
        <v>45727</v>
      </c>
      <c r="G1904" s="1">
        <v>45728</v>
      </c>
      <c r="H1904" t="s">
        <v>8</v>
      </c>
      <c r="I1904" t="s">
        <v>25</v>
      </c>
      <c r="J1904">
        <v>2</v>
      </c>
      <c r="K1904" t="s">
        <v>4</v>
      </c>
      <c r="L1904" t="s">
        <v>18</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1990</v>
      </c>
      <c r="B1905" t="s">
        <v>7</v>
      </c>
      <c r="C1905">
        <v>1</v>
      </c>
      <c r="D1905">
        <v>49.8</v>
      </c>
      <c r="E1905">
        <v>49.8</v>
      </c>
      <c r="F1905" s="1">
        <v>45727</v>
      </c>
      <c r="G1905" s="1">
        <v>45728</v>
      </c>
      <c r="H1905" t="s">
        <v>12</v>
      </c>
      <c r="I1905" t="s">
        <v>3</v>
      </c>
      <c r="J1905">
        <v>4</v>
      </c>
      <c r="K1905" t="s">
        <v>4</v>
      </c>
      <c r="L1905" t="s">
        <v>18</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1991</v>
      </c>
      <c r="B1906" t="s">
        <v>54</v>
      </c>
      <c r="C1906">
        <v>5</v>
      </c>
      <c r="D1906">
        <v>32.6</v>
      </c>
      <c r="E1906">
        <v>163</v>
      </c>
      <c r="F1906" s="1">
        <v>45727</v>
      </c>
      <c r="G1906" s="1">
        <v>45728</v>
      </c>
      <c r="H1906" t="s">
        <v>12</v>
      </c>
      <c r="I1906" t="s">
        <v>3</v>
      </c>
      <c r="J1906">
        <v>4</v>
      </c>
      <c r="K1906" t="s">
        <v>4</v>
      </c>
      <c r="L1906" t="s">
        <v>18</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1992</v>
      </c>
      <c r="B1907" t="s">
        <v>31</v>
      </c>
      <c r="C1907">
        <v>2</v>
      </c>
      <c r="D1907">
        <v>40.1</v>
      </c>
      <c r="E1907">
        <v>80.2</v>
      </c>
      <c r="F1907" s="1">
        <v>45727</v>
      </c>
      <c r="G1907" s="1">
        <v>45730</v>
      </c>
      <c r="H1907" t="s">
        <v>8</v>
      </c>
      <c r="I1907" t="s">
        <v>20</v>
      </c>
      <c r="J1907">
        <v>5</v>
      </c>
      <c r="K1907" t="s">
        <v>4</v>
      </c>
      <c r="L1907" t="s">
        <v>18</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1993</v>
      </c>
      <c r="B1908" t="s">
        <v>39</v>
      </c>
      <c r="C1908">
        <v>2</v>
      </c>
      <c r="D1908">
        <v>49.4</v>
      </c>
      <c r="E1908">
        <v>98.8</v>
      </c>
      <c r="F1908" s="1">
        <v>45727</v>
      </c>
      <c r="G1908" s="1">
        <v>45729</v>
      </c>
      <c r="H1908" t="s">
        <v>8</v>
      </c>
      <c r="I1908" t="s">
        <v>20</v>
      </c>
      <c r="J1908">
        <v>4</v>
      </c>
      <c r="K1908" t="s">
        <v>4</v>
      </c>
      <c r="L1908" t="s">
        <v>18</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1994</v>
      </c>
      <c r="B1909" t="s">
        <v>11</v>
      </c>
      <c r="C1909">
        <v>1</v>
      </c>
      <c r="D1909">
        <v>67.3</v>
      </c>
      <c r="E1909">
        <v>67.3</v>
      </c>
      <c r="F1909" s="1">
        <v>45727</v>
      </c>
      <c r="G1909" s="1">
        <v>45728</v>
      </c>
      <c r="H1909" t="s">
        <v>12</v>
      </c>
      <c r="I1909" t="s">
        <v>3</v>
      </c>
      <c r="J1909">
        <v>5</v>
      </c>
      <c r="K1909" t="s">
        <v>4</v>
      </c>
      <c r="L1909" t="s">
        <v>18</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1995</v>
      </c>
      <c r="B1910" t="s">
        <v>131</v>
      </c>
      <c r="C1910">
        <v>4</v>
      </c>
      <c r="D1910">
        <v>44.5</v>
      </c>
      <c r="E1910">
        <v>178</v>
      </c>
      <c r="F1910" s="1">
        <v>45727</v>
      </c>
      <c r="G1910" s="1">
        <v>45730</v>
      </c>
      <c r="H1910" t="s">
        <v>2</v>
      </c>
      <c r="I1910" t="s">
        <v>20</v>
      </c>
      <c r="J1910">
        <v>4</v>
      </c>
      <c r="K1910" t="s">
        <v>4</v>
      </c>
      <c r="L1910" t="s">
        <v>18</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1996</v>
      </c>
      <c r="B1911" t="s">
        <v>24</v>
      </c>
      <c r="C1911">
        <v>11</v>
      </c>
      <c r="D1911">
        <v>111.1</v>
      </c>
      <c r="E1911">
        <v>1222.0999999999999</v>
      </c>
      <c r="F1911" s="1">
        <v>45727</v>
      </c>
      <c r="G1911" s="1">
        <v>45728</v>
      </c>
      <c r="H1911" t="s">
        <v>12</v>
      </c>
      <c r="I1911" t="s">
        <v>55</v>
      </c>
      <c r="J1911">
        <v>4</v>
      </c>
      <c r="K1911" t="s">
        <v>4</v>
      </c>
      <c r="L1911" t="s">
        <v>18</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1997</v>
      </c>
      <c r="B1912" t="s">
        <v>29</v>
      </c>
      <c r="C1912">
        <v>3</v>
      </c>
      <c r="D1912">
        <v>19.7</v>
      </c>
      <c r="E1912">
        <v>59.099999999999994</v>
      </c>
      <c r="F1912" s="1">
        <v>45727</v>
      </c>
      <c r="G1912" s="1">
        <v>45728</v>
      </c>
      <c r="H1912" t="s">
        <v>12</v>
      </c>
      <c r="I1912" t="s">
        <v>55</v>
      </c>
      <c r="J1912">
        <v>2</v>
      </c>
      <c r="K1912" t="s">
        <v>4</v>
      </c>
      <c r="L1912" t="s">
        <v>18</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1998</v>
      </c>
      <c r="B1913" t="s">
        <v>7</v>
      </c>
      <c r="C1913">
        <v>1</v>
      </c>
      <c r="D1913">
        <v>40.299999999999997</v>
      </c>
      <c r="E1913">
        <v>40.299999999999997</v>
      </c>
      <c r="F1913" s="1">
        <v>45727</v>
      </c>
      <c r="G1913" s="1">
        <v>45728</v>
      </c>
      <c r="H1913" t="s">
        <v>74</v>
      </c>
      <c r="I1913" t="s">
        <v>20</v>
      </c>
      <c r="J1913">
        <v>4</v>
      </c>
      <c r="K1913" t="s">
        <v>4</v>
      </c>
      <c r="L1913" t="s">
        <v>18</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1999</v>
      </c>
      <c r="B1914" t="s">
        <v>24</v>
      </c>
      <c r="C1914">
        <v>2</v>
      </c>
      <c r="D1914">
        <v>108.8</v>
      </c>
      <c r="E1914">
        <v>217.6</v>
      </c>
      <c r="F1914" s="1">
        <v>45727</v>
      </c>
      <c r="G1914" s="1">
        <v>45732</v>
      </c>
      <c r="H1914" t="s">
        <v>8</v>
      </c>
      <c r="I1914" t="s">
        <v>3</v>
      </c>
      <c r="J1914">
        <v>5</v>
      </c>
      <c r="K1914" t="s">
        <v>4</v>
      </c>
      <c r="L1914" t="s">
        <v>40</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2000</v>
      </c>
      <c r="B1915" t="s">
        <v>29</v>
      </c>
      <c r="C1915">
        <v>3</v>
      </c>
      <c r="D1915">
        <v>48.2</v>
      </c>
      <c r="E1915">
        <v>144.60000000000002</v>
      </c>
      <c r="F1915" s="1">
        <v>45727</v>
      </c>
      <c r="G1915" s="1">
        <v>45732</v>
      </c>
      <c r="H1915" t="s">
        <v>12</v>
      </c>
      <c r="I1915" t="s">
        <v>55</v>
      </c>
      <c r="J1915">
        <v>4</v>
      </c>
      <c r="K1915" t="s">
        <v>4</v>
      </c>
      <c r="L1915" t="s">
        <v>44</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2001</v>
      </c>
      <c r="B1916" t="s">
        <v>11</v>
      </c>
      <c r="C1916">
        <v>3</v>
      </c>
      <c r="D1916">
        <v>104.7</v>
      </c>
      <c r="E1916">
        <v>314.10000000000002</v>
      </c>
      <c r="F1916" s="1">
        <v>45727</v>
      </c>
      <c r="G1916" s="1">
        <v>45729</v>
      </c>
      <c r="H1916" t="s">
        <v>12</v>
      </c>
      <c r="I1916" t="s">
        <v>3</v>
      </c>
      <c r="J1916">
        <v>3</v>
      </c>
      <c r="K1916" t="s">
        <v>4</v>
      </c>
      <c r="L1916" t="s">
        <v>44</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2002</v>
      </c>
      <c r="B1917" t="s">
        <v>7</v>
      </c>
      <c r="C1917">
        <v>2</v>
      </c>
      <c r="D1917">
        <v>80.599999999999994</v>
      </c>
      <c r="E1917">
        <v>161.19999999999999</v>
      </c>
      <c r="F1917" s="1">
        <v>45727</v>
      </c>
      <c r="G1917" s="1">
        <v>45727</v>
      </c>
      <c r="H1917" t="s">
        <v>12</v>
      </c>
      <c r="I1917" t="s">
        <v>20</v>
      </c>
      <c r="J1917">
        <v>4</v>
      </c>
      <c r="K1917" t="s">
        <v>4</v>
      </c>
      <c r="L1917" t="s">
        <v>47</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2003</v>
      </c>
      <c r="B1918" t="s">
        <v>24</v>
      </c>
      <c r="C1918">
        <v>1</v>
      </c>
      <c r="D1918">
        <v>65.5</v>
      </c>
      <c r="E1918">
        <v>65.5</v>
      </c>
      <c r="F1918" s="1">
        <v>45727</v>
      </c>
      <c r="G1918" s="1">
        <v>45729</v>
      </c>
      <c r="H1918" t="s">
        <v>74</v>
      </c>
      <c r="I1918" t="s">
        <v>20</v>
      </c>
      <c r="J1918">
        <v>4</v>
      </c>
      <c r="K1918" t="s">
        <v>4</v>
      </c>
      <c r="L1918" t="s">
        <v>47</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2004</v>
      </c>
      <c r="B1919" t="s">
        <v>31</v>
      </c>
      <c r="C1919">
        <v>3</v>
      </c>
      <c r="D1919">
        <v>61.4</v>
      </c>
      <c r="E1919">
        <v>184.2</v>
      </c>
      <c r="F1919" s="1">
        <v>45727</v>
      </c>
      <c r="G1919" s="1">
        <v>45729</v>
      </c>
      <c r="H1919" t="s">
        <v>12</v>
      </c>
      <c r="I1919" t="s">
        <v>55</v>
      </c>
      <c r="J1919">
        <v>5</v>
      </c>
      <c r="K1919" t="s">
        <v>4</v>
      </c>
      <c r="L1919" t="s">
        <v>47</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2005</v>
      </c>
      <c r="B1920" t="s">
        <v>1</v>
      </c>
      <c r="C1920">
        <v>1</v>
      </c>
      <c r="D1920">
        <v>12.5</v>
      </c>
      <c r="E1920">
        <v>12.5</v>
      </c>
      <c r="F1920" s="1">
        <v>45728</v>
      </c>
      <c r="G1920" s="1">
        <v>45731</v>
      </c>
      <c r="H1920" t="s">
        <v>12</v>
      </c>
      <c r="I1920" t="s">
        <v>3</v>
      </c>
      <c r="J1920">
        <v>3</v>
      </c>
      <c r="K1920" t="s">
        <v>4</v>
      </c>
      <c r="L1920" t="s">
        <v>47</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2006</v>
      </c>
      <c r="B1921" t="s">
        <v>17</v>
      </c>
      <c r="C1921">
        <v>4</v>
      </c>
      <c r="D1921">
        <v>35.1</v>
      </c>
      <c r="E1921">
        <v>140.4</v>
      </c>
      <c r="F1921" s="1">
        <v>45728</v>
      </c>
      <c r="G1921" s="1">
        <v>45729</v>
      </c>
      <c r="H1921" t="s">
        <v>8</v>
      </c>
      <c r="I1921" t="s">
        <v>25</v>
      </c>
      <c r="J1921">
        <v>3</v>
      </c>
      <c r="K1921" t="s">
        <v>4</v>
      </c>
      <c r="L1921" t="s">
        <v>88</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2007</v>
      </c>
      <c r="B1922" t="s">
        <v>22</v>
      </c>
      <c r="C1922">
        <v>2</v>
      </c>
      <c r="D1922">
        <v>55.7</v>
      </c>
      <c r="E1922">
        <v>111.4</v>
      </c>
      <c r="F1922" s="1">
        <v>45728</v>
      </c>
      <c r="G1922" s="1">
        <v>45729</v>
      </c>
      <c r="H1922" t="s">
        <v>8</v>
      </c>
      <c r="I1922" t="s">
        <v>3</v>
      </c>
      <c r="J1922">
        <v>3</v>
      </c>
      <c r="K1922" t="s">
        <v>4</v>
      </c>
      <c r="L1922" t="s">
        <v>186</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2008</v>
      </c>
      <c r="B1923" t="s">
        <v>27</v>
      </c>
      <c r="C1923">
        <v>2</v>
      </c>
      <c r="D1923">
        <v>57.7</v>
      </c>
      <c r="E1923">
        <v>115.4</v>
      </c>
      <c r="F1923" s="1">
        <v>45728</v>
      </c>
      <c r="G1923" s="1">
        <v>45730</v>
      </c>
      <c r="H1923" t="s">
        <v>8</v>
      </c>
      <c r="I1923" t="s">
        <v>55</v>
      </c>
      <c r="J1923">
        <v>3</v>
      </c>
      <c r="K1923" t="s">
        <v>4</v>
      </c>
      <c r="L1923" t="s">
        <v>57</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2009</v>
      </c>
      <c r="B1924" t="s">
        <v>11</v>
      </c>
      <c r="C1924">
        <v>6</v>
      </c>
      <c r="D1924">
        <v>85.7</v>
      </c>
      <c r="E1924">
        <v>514.20000000000005</v>
      </c>
      <c r="F1924" s="1">
        <v>45728</v>
      </c>
      <c r="G1924" s="1">
        <v>45729</v>
      </c>
      <c r="H1924" t="s">
        <v>8</v>
      </c>
      <c r="I1924" t="s">
        <v>36</v>
      </c>
      <c r="J1924">
        <v>5</v>
      </c>
      <c r="K1924" t="s">
        <v>4</v>
      </c>
      <c r="L1924" t="s">
        <v>57</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2010</v>
      </c>
      <c r="B1925" t="s">
        <v>11</v>
      </c>
      <c r="C1925">
        <v>3</v>
      </c>
      <c r="D1925">
        <v>86.9</v>
      </c>
      <c r="E1925">
        <v>260.70000000000005</v>
      </c>
      <c r="F1925" s="1">
        <v>45728</v>
      </c>
      <c r="G1925" s="1">
        <v>45730</v>
      </c>
      <c r="H1925" t="s">
        <v>12</v>
      </c>
      <c r="I1925" t="s">
        <v>20</v>
      </c>
      <c r="J1925">
        <v>4</v>
      </c>
      <c r="K1925" t="s">
        <v>4</v>
      </c>
      <c r="L1925" t="s">
        <v>62</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2011</v>
      </c>
      <c r="B1926" t="s">
        <v>131</v>
      </c>
      <c r="C1926">
        <v>2</v>
      </c>
      <c r="D1926">
        <v>46.4</v>
      </c>
      <c r="E1926">
        <v>92.8</v>
      </c>
      <c r="F1926" s="1">
        <v>45728</v>
      </c>
      <c r="G1926" s="1">
        <v>45731</v>
      </c>
      <c r="H1926" t="s">
        <v>12</v>
      </c>
      <c r="I1926" t="s">
        <v>55</v>
      </c>
      <c r="J1926">
        <v>4</v>
      </c>
      <c r="K1926" t="s">
        <v>4</v>
      </c>
      <c r="L1926" t="s">
        <v>62</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2012</v>
      </c>
      <c r="B1927" t="s">
        <v>22</v>
      </c>
      <c r="C1927">
        <v>3</v>
      </c>
      <c r="D1927">
        <v>25.4</v>
      </c>
      <c r="E1927">
        <v>76.199999999999989</v>
      </c>
      <c r="F1927" s="1">
        <v>45728</v>
      </c>
      <c r="G1927" s="1">
        <v>45728</v>
      </c>
      <c r="H1927" t="s">
        <v>12</v>
      </c>
      <c r="I1927" t="s">
        <v>25</v>
      </c>
      <c r="J1927">
        <v>5</v>
      </c>
      <c r="K1927" t="s">
        <v>4</v>
      </c>
      <c r="L1927" t="s">
        <v>93</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2013</v>
      </c>
      <c r="B1928" t="s">
        <v>39</v>
      </c>
      <c r="C1928">
        <v>3</v>
      </c>
      <c r="D1928">
        <v>47.8</v>
      </c>
      <c r="E1928">
        <v>143.39999999999998</v>
      </c>
      <c r="F1928" s="1">
        <v>45728</v>
      </c>
      <c r="G1928" s="1">
        <v>45728</v>
      </c>
      <c r="H1928" t="s">
        <v>2</v>
      </c>
      <c r="I1928" t="s">
        <v>25</v>
      </c>
      <c r="J1928">
        <v>5</v>
      </c>
      <c r="K1928" t="s">
        <v>4</v>
      </c>
      <c r="L1928" t="s">
        <v>95</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2014</v>
      </c>
      <c r="B1929" t="s">
        <v>29</v>
      </c>
      <c r="C1929">
        <v>19</v>
      </c>
      <c r="D1929">
        <v>18.399999999999999</v>
      </c>
      <c r="E1929">
        <v>349.59999999999997</v>
      </c>
      <c r="F1929" s="1">
        <v>45728</v>
      </c>
      <c r="G1929" s="1">
        <v>45730</v>
      </c>
      <c r="H1929" t="s">
        <v>74</v>
      </c>
      <c r="I1929" t="s">
        <v>25</v>
      </c>
      <c r="J1929">
        <v>4</v>
      </c>
      <c r="K1929" t="s">
        <v>4</v>
      </c>
      <c r="L1929" t="s">
        <v>98</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2015</v>
      </c>
      <c r="B1930" t="s">
        <v>54</v>
      </c>
      <c r="C1930">
        <v>3</v>
      </c>
      <c r="D1930">
        <v>65.5</v>
      </c>
      <c r="E1930">
        <v>196.5</v>
      </c>
      <c r="F1930" s="1">
        <v>45728</v>
      </c>
      <c r="G1930" s="1">
        <v>45736</v>
      </c>
      <c r="H1930" t="s">
        <v>12</v>
      </c>
      <c r="I1930" t="s">
        <v>3</v>
      </c>
      <c r="J1930">
        <v>4</v>
      </c>
      <c r="K1930" t="s">
        <v>4</v>
      </c>
      <c r="L1930" t="s">
        <v>100</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2016</v>
      </c>
      <c r="B1931" t="s">
        <v>39</v>
      </c>
      <c r="C1931">
        <v>2</v>
      </c>
      <c r="D1931">
        <v>50.6</v>
      </c>
      <c r="E1931">
        <v>101.2</v>
      </c>
      <c r="F1931" s="1">
        <v>45728</v>
      </c>
      <c r="G1931" s="1">
        <v>45731</v>
      </c>
      <c r="H1931" t="s">
        <v>8</v>
      </c>
      <c r="I1931" t="s">
        <v>25</v>
      </c>
      <c r="J1931">
        <v>2</v>
      </c>
      <c r="K1931" t="s">
        <v>4</v>
      </c>
      <c r="L1931" t="s">
        <v>100</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2017</v>
      </c>
      <c r="B1932" t="s">
        <v>15</v>
      </c>
      <c r="C1932">
        <v>5</v>
      </c>
      <c r="D1932">
        <v>69</v>
      </c>
      <c r="E1932">
        <v>345</v>
      </c>
      <c r="F1932" s="1">
        <v>45728</v>
      </c>
      <c r="G1932" s="1">
        <v>45732</v>
      </c>
      <c r="H1932" t="s">
        <v>8</v>
      </c>
      <c r="I1932" t="s">
        <v>36</v>
      </c>
      <c r="J1932">
        <v>4</v>
      </c>
      <c r="K1932" t="s">
        <v>4</v>
      </c>
      <c r="L1932" t="s">
        <v>100</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2018</v>
      </c>
      <c r="B1933" t="s">
        <v>31</v>
      </c>
      <c r="C1933">
        <v>8</v>
      </c>
      <c r="D1933">
        <v>51.1</v>
      </c>
      <c r="E1933">
        <v>408.8</v>
      </c>
      <c r="F1933" s="1">
        <v>45728</v>
      </c>
      <c r="G1933" s="1">
        <v>45730</v>
      </c>
      <c r="H1933" t="s">
        <v>12</v>
      </c>
      <c r="I1933" t="s">
        <v>3</v>
      </c>
      <c r="J1933">
        <v>4</v>
      </c>
      <c r="K1933" t="s">
        <v>4</v>
      </c>
      <c r="L1933" t="s">
        <v>9</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2019</v>
      </c>
      <c r="B1934" t="s">
        <v>31</v>
      </c>
      <c r="C1934">
        <v>1</v>
      </c>
      <c r="D1934">
        <v>36.1</v>
      </c>
      <c r="E1934">
        <v>36.1</v>
      </c>
      <c r="F1934" s="1">
        <v>45728</v>
      </c>
      <c r="G1934" s="1">
        <v>45729</v>
      </c>
      <c r="H1934" t="s">
        <v>12</v>
      </c>
      <c r="I1934" t="s">
        <v>3</v>
      </c>
      <c r="J1934">
        <v>5</v>
      </c>
      <c r="K1934" t="s">
        <v>4</v>
      </c>
      <c r="L1934" t="s">
        <v>319</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2020</v>
      </c>
      <c r="B1935" t="s">
        <v>66</v>
      </c>
      <c r="C1935">
        <v>1</v>
      </c>
      <c r="D1935">
        <v>18.7</v>
      </c>
      <c r="E1935">
        <v>18.7</v>
      </c>
      <c r="F1935" s="1">
        <v>45728</v>
      </c>
      <c r="G1935" s="1">
        <v>45729</v>
      </c>
      <c r="H1935" t="s">
        <v>8</v>
      </c>
      <c r="I1935" t="s">
        <v>3</v>
      </c>
      <c r="J1935">
        <v>4</v>
      </c>
      <c r="K1935" t="s">
        <v>4</v>
      </c>
      <c r="L1935" t="s">
        <v>18</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2021</v>
      </c>
      <c r="B1936" t="s">
        <v>120</v>
      </c>
      <c r="C1936">
        <v>1</v>
      </c>
      <c r="D1936">
        <v>30.1</v>
      </c>
      <c r="E1936">
        <v>30.1</v>
      </c>
      <c r="F1936" s="1">
        <v>45728</v>
      </c>
      <c r="G1936" s="1">
        <v>45731</v>
      </c>
      <c r="H1936" t="s">
        <v>12</v>
      </c>
      <c r="I1936" t="s">
        <v>36</v>
      </c>
      <c r="J1936">
        <v>3</v>
      </c>
      <c r="K1936" t="s">
        <v>4</v>
      </c>
      <c r="L1936" t="s">
        <v>18</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2022</v>
      </c>
      <c r="B1937" t="s">
        <v>29</v>
      </c>
      <c r="C1937">
        <v>1</v>
      </c>
      <c r="D1937">
        <v>16.3</v>
      </c>
      <c r="E1937">
        <v>16.3</v>
      </c>
      <c r="F1937" s="1">
        <v>45728</v>
      </c>
      <c r="G1937" s="1">
        <v>45729</v>
      </c>
      <c r="H1937" t="s">
        <v>8</v>
      </c>
      <c r="I1937" t="s">
        <v>36</v>
      </c>
      <c r="J1937">
        <v>4</v>
      </c>
      <c r="K1937" t="s">
        <v>4</v>
      </c>
      <c r="L1937" t="s">
        <v>18</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2023</v>
      </c>
      <c r="B1938" t="s">
        <v>7</v>
      </c>
      <c r="C1938">
        <v>3</v>
      </c>
      <c r="D1938">
        <v>63.8</v>
      </c>
      <c r="E1938">
        <v>191.39999999999998</v>
      </c>
      <c r="F1938" s="1">
        <v>45728</v>
      </c>
      <c r="G1938" s="1">
        <v>45733</v>
      </c>
      <c r="H1938" t="s">
        <v>12</v>
      </c>
      <c r="I1938" t="s">
        <v>25</v>
      </c>
      <c r="J1938">
        <v>3</v>
      </c>
      <c r="K1938" t="s">
        <v>4</v>
      </c>
      <c r="L1938" t="s">
        <v>18</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2024</v>
      </c>
      <c r="B1939" t="s">
        <v>7</v>
      </c>
      <c r="C1939">
        <v>7</v>
      </c>
      <c r="D1939">
        <v>73.900000000000006</v>
      </c>
      <c r="E1939">
        <v>517.30000000000007</v>
      </c>
      <c r="F1939" s="1">
        <v>45728</v>
      </c>
      <c r="G1939" s="1">
        <v>45728</v>
      </c>
      <c r="H1939" t="s">
        <v>12</v>
      </c>
      <c r="I1939" t="s">
        <v>3</v>
      </c>
      <c r="J1939">
        <v>3</v>
      </c>
      <c r="K1939" t="s">
        <v>4</v>
      </c>
      <c r="L1939" t="s">
        <v>18</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2025</v>
      </c>
      <c r="B1940" t="s">
        <v>1</v>
      </c>
      <c r="C1940">
        <v>2</v>
      </c>
      <c r="D1940">
        <v>20.2</v>
      </c>
      <c r="E1940">
        <v>40.4</v>
      </c>
      <c r="F1940" s="1">
        <v>45728</v>
      </c>
      <c r="G1940" s="1">
        <v>45729</v>
      </c>
      <c r="H1940" t="s">
        <v>8</v>
      </c>
      <c r="I1940" t="s">
        <v>3</v>
      </c>
      <c r="J1940">
        <v>3</v>
      </c>
      <c r="K1940" t="s">
        <v>4</v>
      </c>
      <c r="L1940" t="s">
        <v>18</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2026</v>
      </c>
      <c r="B1941" t="s">
        <v>52</v>
      </c>
      <c r="C1941">
        <v>11</v>
      </c>
      <c r="D1941">
        <v>29.5</v>
      </c>
      <c r="E1941">
        <v>324.5</v>
      </c>
      <c r="F1941" s="1">
        <v>45728</v>
      </c>
      <c r="G1941" s="1">
        <v>45729</v>
      </c>
      <c r="H1941" t="s">
        <v>8</v>
      </c>
      <c r="I1941" t="s">
        <v>3</v>
      </c>
      <c r="J1941">
        <v>4</v>
      </c>
      <c r="K1941" t="s">
        <v>4</v>
      </c>
      <c r="L1941" t="s">
        <v>18</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2027</v>
      </c>
      <c r="B1942" t="s">
        <v>108</v>
      </c>
      <c r="C1942">
        <v>7</v>
      </c>
      <c r="D1942">
        <v>37.9</v>
      </c>
      <c r="E1942">
        <v>265.3</v>
      </c>
      <c r="F1942" s="1">
        <v>45728</v>
      </c>
      <c r="G1942" s="1">
        <v>45729</v>
      </c>
      <c r="H1942" t="s">
        <v>8</v>
      </c>
      <c r="I1942" t="s">
        <v>20</v>
      </c>
      <c r="J1942">
        <v>4</v>
      </c>
      <c r="K1942" t="s">
        <v>4</v>
      </c>
      <c r="L1942" t="s">
        <v>18</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2028</v>
      </c>
      <c r="B1943" t="s">
        <v>11</v>
      </c>
      <c r="C1943">
        <v>1</v>
      </c>
      <c r="D1943">
        <v>56.5</v>
      </c>
      <c r="E1943">
        <v>56.5</v>
      </c>
      <c r="F1943" s="1">
        <v>45728</v>
      </c>
      <c r="G1943" s="1">
        <v>45729</v>
      </c>
      <c r="H1943" t="s">
        <v>12</v>
      </c>
      <c r="I1943" t="s">
        <v>25</v>
      </c>
      <c r="J1943">
        <v>3</v>
      </c>
      <c r="K1943" t="s">
        <v>4</v>
      </c>
      <c r="L1943" t="s">
        <v>18</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2029</v>
      </c>
      <c r="B1944" t="s">
        <v>11</v>
      </c>
      <c r="C1944">
        <v>2</v>
      </c>
      <c r="D1944">
        <v>66.900000000000006</v>
      </c>
      <c r="E1944">
        <v>133.80000000000001</v>
      </c>
      <c r="F1944" s="1">
        <v>45728</v>
      </c>
      <c r="G1944" s="1">
        <v>45734</v>
      </c>
      <c r="H1944" t="s">
        <v>8</v>
      </c>
      <c r="I1944" t="s">
        <v>20</v>
      </c>
      <c r="J1944">
        <v>2</v>
      </c>
      <c r="K1944" t="s">
        <v>4</v>
      </c>
      <c r="L1944" t="s">
        <v>173</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2030</v>
      </c>
      <c r="B1945" t="s">
        <v>11</v>
      </c>
      <c r="C1945">
        <v>5</v>
      </c>
      <c r="D1945">
        <v>51.9</v>
      </c>
      <c r="E1945">
        <v>259.5</v>
      </c>
      <c r="F1945" s="1">
        <v>45728</v>
      </c>
      <c r="G1945" s="1">
        <v>45731</v>
      </c>
      <c r="H1945" t="s">
        <v>8</v>
      </c>
      <c r="I1945" t="s">
        <v>20</v>
      </c>
      <c r="J1945">
        <v>4</v>
      </c>
      <c r="K1945" t="s">
        <v>4</v>
      </c>
      <c r="L1945" t="s">
        <v>44</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2031</v>
      </c>
      <c r="B1946" t="s">
        <v>11</v>
      </c>
      <c r="C1946">
        <v>2</v>
      </c>
      <c r="D1946">
        <v>75.599999999999994</v>
      </c>
      <c r="E1946">
        <v>151.19999999999999</v>
      </c>
      <c r="F1946" s="1">
        <v>45728</v>
      </c>
      <c r="G1946" s="1">
        <v>45731</v>
      </c>
      <c r="H1946" t="s">
        <v>8</v>
      </c>
      <c r="I1946" t="s">
        <v>20</v>
      </c>
      <c r="J1946">
        <v>4</v>
      </c>
      <c r="K1946" t="s">
        <v>4</v>
      </c>
      <c r="L1946" t="s">
        <v>47</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2032</v>
      </c>
      <c r="B1947" t="s">
        <v>54</v>
      </c>
      <c r="C1947">
        <v>6</v>
      </c>
      <c r="D1947">
        <v>47.3</v>
      </c>
      <c r="E1947">
        <v>283.79999999999995</v>
      </c>
      <c r="F1947" s="1">
        <v>45728</v>
      </c>
      <c r="G1947" s="1">
        <v>45739</v>
      </c>
      <c r="H1947" t="s">
        <v>8</v>
      </c>
      <c r="I1947" t="s">
        <v>3</v>
      </c>
      <c r="J1947">
        <v>4</v>
      </c>
      <c r="K1947" t="s">
        <v>4</v>
      </c>
      <c r="L1947" t="s">
        <v>47</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2033</v>
      </c>
      <c r="B1948" t="s">
        <v>17</v>
      </c>
      <c r="C1948">
        <v>1</v>
      </c>
      <c r="D1948">
        <v>20.6</v>
      </c>
      <c r="E1948">
        <v>20.6</v>
      </c>
      <c r="F1948" s="1">
        <v>45728</v>
      </c>
      <c r="G1948" s="1">
        <v>45729</v>
      </c>
      <c r="H1948" t="s">
        <v>2</v>
      </c>
      <c r="I1948" t="s">
        <v>3</v>
      </c>
      <c r="J1948">
        <v>3</v>
      </c>
      <c r="K1948" t="s">
        <v>4</v>
      </c>
      <c r="L1948" t="s">
        <v>47</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2034</v>
      </c>
      <c r="B1949" t="s">
        <v>24</v>
      </c>
      <c r="C1949">
        <v>3</v>
      </c>
      <c r="D1949">
        <v>49.7</v>
      </c>
      <c r="E1949">
        <v>149.10000000000002</v>
      </c>
      <c r="F1949" s="1">
        <v>45728</v>
      </c>
      <c r="G1949" s="1">
        <v>45730</v>
      </c>
      <c r="H1949" t="s">
        <v>8</v>
      </c>
      <c r="I1949" t="s">
        <v>3</v>
      </c>
      <c r="J1949">
        <v>3</v>
      </c>
      <c r="K1949" t="s">
        <v>4</v>
      </c>
      <c r="L1949" t="s">
        <v>47</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2035</v>
      </c>
      <c r="B1950" t="s">
        <v>15</v>
      </c>
      <c r="C1950">
        <v>1</v>
      </c>
      <c r="D1950">
        <v>37.9</v>
      </c>
      <c r="E1950">
        <v>37.9</v>
      </c>
      <c r="F1950" s="1">
        <v>45728</v>
      </c>
      <c r="G1950" s="1">
        <v>45730</v>
      </c>
      <c r="H1950" t="s">
        <v>12</v>
      </c>
      <c r="I1950" t="s">
        <v>3</v>
      </c>
      <c r="J1950">
        <v>4</v>
      </c>
      <c r="K1950" t="s">
        <v>4</v>
      </c>
      <c r="L1950" t="s">
        <v>47</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2036</v>
      </c>
      <c r="B1951" t="s">
        <v>61</v>
      </c>
      <c r="C1951">
        <v>15</v>
      </c>
      <c r="D1951">
        <v>32</v>
      </c>
      <c r="E1951">
        <v>480</v>
      </c>
      <c r="F1951" s="1">
        <v>45728</v>
      </c>
      <c r="G1951" s="1">
        <v>45730</v>
      </c>
      <c r="H1951" t="s">
        <v>12</v>
      </c>
      <c r="I1951" t="s">
        <v>55</v>
      </c>
      <c r="J1951">
        <v>4</v>
      </c>
      <c r="K1951" t="s">
        <v>4</v>
      </c>
      <c r="L1951" t="s">
        <v>62</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2037</v>
      </c>
      <c r="B1952" t="s">
        <v>39</v>
      </c>
      <c r="C1952">
        <v>18</v>
      </c>
      <c r="D1952">
        <v>38.5</v>
      </c>
      <c r="E1952">
        <v>693</v>
      </c>
      <c r="F1952" s="1">
        <v>45729</v>
      </c>
      <c r="G1952" s="1">
        <v>45730</v>
      </c>
      <c r="H1952" t="s">
        <v>8</v>
      </c>
      <c r="I1952" t="s">
        <v>3</v>
      </c>
      <c r="J1952">
        <v>5</v>
      </c>
      <c r="K1952" t="s">
        <v>4</v>
      </c>
      <c r="L1952" t="s">
        <v>62</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2038</v>
      </c>
      <c r="B1953" t="s">
        <v>1</v>
      </c>
      <c r="C1953">
        <v>4</v>
      </c>
      <c r="D1953">
        <v>11.7</v>
      </c>
      <c r="E1953">
        <v>46.8</v>
      </c>
      <c r="F1953" s="1">
        <v>45729</v>
      </c>
      <c r="G1953" s="1">
        <v>45731</v>
      </c>
      <c r="H1953" t="s">
        <v>12</v>
      </c>
      <c r="I1953" t="s">
        <v>20</v>
      </c>
      <c r="J1953">
        <v>4</v>
      </c>
      <c r="K1953" t="s">
        <v>4</v>
      </c>
      <c r="L1953" t="s">
        <v>98</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2039</v>
      </c>
      <c r="B1954" t="s">
        <v>15</v>
      </c>
      <c r="C1954">
        <v>6</v>
      </c>
      <c r="D1954">
        <v>83.8</v>
      </c>
      <c r="E1954">
        <v>502.79999999999995</v>
      </c>
      <c r="F1954" s="1">
        <v>45729</v>
      </c>
      <c r="G1954" s="1">
        <v>45730</v>
      </c>
      <c r="H1954" t="s">
        <v>8</v>
      </c>
      <c r="I1954" t="s">
        <v>3</v>
      </c>
      <c r="J1954">
        <v>4</v>
      </c>
      <c r="K1954" t="s">
        <v>4</v>
      </c>
      <c r="L1954" t="s">
        <v>100</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2040</v>
      </c>
      <c r="B1955" t="s">
        <v>1</v>
      </c>
      <c r="C1955">
        <v>7</v>
      </c>
      <c r="D1955">
        <v>14</v>
      </c>
      <c r="E1955">
        <v>98</v>
      </c>
      <c r="F1955" s="1">
        <v>45729</v>
      </c>
      <c r="G1955" s="1">
        <v>45732</v>
      </c>
      <c r="H1955" t="s">
        <v>8</v>
      </c>
      <c r="I1955" t="s">
        <v>3</v>
      </c>
      <c r="J1955">
        <v>3</v>
      </c>
      <c r="K1955" t="s">
        <v>4</v>
      </c>
      <c r="L1955" t="s">
        <v>132</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2041</v>
      </c>
      <c r="B1956" t="s">
        <v>113</v>
      </c>
      <c r="C1956">
        <v>4</v>
      </c>
      <c r="D1956">
        <v>77.3</v>
      </c>
      <c r="E1956">
        <v>309.2</v>
      </c>
      <c r="F1956" s="1">
        <v>45729</v>
      </c>
      <c r="G1956" s="1">
        <v>45731</v>
      </c>
      <c r="H1956" t="s">
        <v>12</v>
      </c>
      <c r="I1956" t="s">
        <v>55</v>
      </c>
      <c r="J1956">
        <v>5</v>
      </c>
      <c r="K1956" t="s">
        <v>4</v>
      </c>
      <c r="L1956" t="s">
        <v>18</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2042</v>
      </c>
      <c r="B1957" t="s">
        <v>11</v>
      </c>
      <c r="C1957">
        <v>2</v>
      </c>
      <c r="D1957">
        <v>76.900000000000006</v>
      </c>
      <c r="E1957">
        <v>153.80000000000001</v>
      </c>
      <c r="F1957" s="1">
        <v>45729</v>
      </c>
      <c r="G1957" s="1">
        <v>45733</v>
      </c>
      <c r="H1957" t="s">
        <v>12</v>
      </c>
      <c r="I1957" t="s">
        <v>3</v>
      </c>
      <c r="J1957">
        <v>3</v>
      </c>
      <c r="K1957" t="s">
        <v>4</v>
      </c>
      <c r="L1957" t="s">
        <v>18</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2043</v>
      </c>
      <c r="B1958" t="s">
        <v>7</v>
      </c>
      <c r="C1958">
        <v>1</v>
      </c>
      <c r="D1958">
        <v>48</v>
      </c>
      <c r="E1958">
        <v>48</v>
      </c>
      <c r="F1958" s="1">
        <v>45729</v>
      </c>
      <c r="G1958" s="1">
        <v>45731</v>
      </c>
      <c r="H1958" t="s">
        <v>12</v>
      </c>
      <c r="I1958" t="s">
        <v>20</v>
      </c>
      <c r="J1958">
        <v>5</v>
      </c>
      <c r="K1958" t="s">
        <v>4</v>
      </c>
      <c r="L1958" t="s">
        <v>18</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2044</v>
      </c>
      <c r="B1959" t="s">
        <v>11</v>
      </c>
      <c r="C1959">
        <v>1</v>
      </c>
      <c r="D1959">
        <v>94.5</v>
      </c>
      <c r="E1959">
        <v>94.5</v>
      </c>
      <c r="F1959" s="1">
        <v>45729</v>
      </c>
      <c r="G1959" s="1">
        <v>45732</v>
      </c>
      <c r="H1959" t="s">
        <v>8</v>
      </c>
      <c r="I1959" t="s">
        <v>20</v>
      </c>
      <c r="J1959">
        <v>3</v>
      </c>
      <c r="K1959" t="s">
        <v>4</v>
      </c>
      <c r="L1959" t="s">
        <v>18</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2045</v>
      </c>
      <c r="B1960" t="s">
        <v>39</v>
      </c>
      <c r="C1960">
        <v>3</v>
      </c>
      <c r="D1960">
        <v>58.4</v>
      </c>
      <c r="E1960">
        <v>175.2</v>
      </c>
      <c r="F1960" s="1">
        <v>45729</v>
      </c>
      <c r="G1960" s="1">
        <v>45731</v>
      </c>
      <c r="H1960" t="s">
        <v>12</v>
      </c>
      <c r="I1960" t="s">
        <v>20</v>
      </c>
      <c r="J1960">
        <v>5</v>
      </c>
      <c r="K1960" t="s">
        <v>4</v>
      </c>
      <c r="L1960" t="s">
        <v>18</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2046</v>
      </c>
      <c r="B1961" t="s">
        <v>27</v>
      </c>
      <c r="C1961">
        <v>13</v>
      </c>
      <c r="D1961">
        <v>42.2</v>
      </c>
      <c r="E1961">
        <v>548.6</v>
      </c>
      <c r="F1961" s="1">
        <v>45729</v>
      </c>
      <c r="G1961" s="1">
        <v>45729</v>
      </c>
      <c r="H1961" t="s">
        <v>8</v>
      </c>
      <c r="I1961" t="s">
        <v>3</v>
      </c>
      <c r="J1961">
        <v>4</v>
      </c>
      <c r="K1961" t="s">
        <v>4</v>
      </c>
      <c r="L1961" t="s">
        <v>173</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2047</v>
      </c>
      <c r="B1962" t="s">
        <v>24</v>
      </c>
      <c r="C1962">
        <v>2</v>
      </c>
      <c r="D1962">
        <v>152.19999999999999</v>
      </c>
      <c r="E1962">
        <v>304.39999999999998</v>
      </c>
      <c r="F1962" s="1">
        <v>45729</v>
      </c>
      <c r="G1962" s="1">
        <v>45730</v>
      </c>
      <c r="H1962" t="s">
        <v>8</v>
      </c>
      <c r="I1962" t="s">
        <v>55</v>
      </c>
      <c r="J1962">
        <v>3</v>
      </c>
      <c r="K1962" t="s">
        <v>4</v>
      </c>
      <c r="L1962" t="s">
        <v>173</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2048</v>
      </c>
      <c r="B1963" t="s">
        <v>24</v>
      </c>
      <c r="C1963">
        <v>24</v>
      </c>
      <c r="D1963">
        <v>72</v>
      </c>
      <c r="E1963">
        <v>1728</v>
      </c>
      <c r="F1963" s="1">
        <v>45729</v>
      </c>
      <c r="G1963" s="1">
        <v>45730</v>
      </c>
      <c r="H1963" t="s">
        <v>8</v>
      </c>
      <c r="I1963" t="s">
        <v>3</v>
      </c>
      <c r="J1963">
        <v>3</v>
      </c>
      <c r="K1963" t="s">
        <v>4</v>
      </c>
      <c r="L1963" t="s">
        <v>40</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2049</v>
      </c>
      <c r="B1964" t="s">
        <v>7</v>
      </c>
      <c r="C1964">
        <v>23</v>
      </c>
      <c r="D1964">
        <v>70.900000000000006</v>
      </c>
      <c r="E1964">
        <v>1630.7</v>
      </c>
      <c r="F1964" s="1">
        <v>45729</v>
      </c>
      <c r="G1964" s="1">
        <v>45730</v>
      </c>
      <c r="H1964" t="s">
        <v>12</v>
      </c>
      <c r="I1964" t="s">
        <v>25</v>
      </c>
      <c r="J1964">
        <v>4</v>
      </c>
      <c r="K1964" t="s">
        <v>4</v>
      </c>
      <c r="L1964" t="s">
        <v>47</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2050</v>
      </c>
      <c r="B1965" t="s">
        <v>11</v>
      </c>
      <c r="C1965">
        <v>2</v>
      </c>
      <c r="D1965">
        <v>53.7</v>
      </c>
      <c r="E1965">
        <v>107.4</v>
      </c>
      <c r="F1965" s="1">
        <v>45729</v>
      </c>
      <c r="G1965" s="1">
        <v>45730</v>
      </c>
      <c r="H1965" t="s">
        <v>8</v>
      </c>
      <c r="I1965" t="s">
        <v>25</v>
      </c>
      <c r="J1965">
        <v>5</v>
      </c>
      <c r="K1965" t="s">
        <v>4</v>
      </c>
      <c r="L1965" t="s">
        <v>47</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2051</v>
      </c>
      <c r="B1966" t="s">
        <v>31</v>
      </c>
      <c r="C1966">
        <v>4</v>
      </c>
      <c r="D1966">
        <v>42.9</v>
      </c>
      <c r="E1966">
        <v>171.6</v>
      </c>
      <c r="F1966" s="1">
        <v>45729</v>
      </c>
      <c r="G1966" s="1">
        <v>45730</v>
      </c>
      <c r="H1966" t="s">
        <v>12</v>
      </c>
      <c r="I1966" t="s">
        <v>25</v>
      </c>
      <c r="J1966">
        <v>2</v>
      </c>
      <c r="K1966" t="s">
        <v>4</v>
      </c>
      <c r="L1966" t="s">
        <v>57</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2052</v>
      </c>
      <c r="B1967" t="s">
        <v>11</v>
      </c>
      <c r="C1967">
        <v>7</v>
      </c>
      <c r="D1967">
        <v>107.5</v>
      </c>
      <c r="E1967">
        <v>752.5</v>
      </c>
      <c r="F1967" s="1">
        <v>45729</v>
      </c>
      <c r="G1967" s="1">
        <v>45730</v>
      </c>
      <c r="H1967" t="s">
        <v>8</v>
      </c>
      <c r="I1967" t="s">
        <v>20</v>
      </c>
      <c r="J1967">
        <v>4</v>
      </c>
      <c r="K1967" t="s">
        <v>4</v>
      </c>
      <c r="L1967" t="s">
        <v>62</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2053</v>
      </c>
      <c r="B1968" t="s">
        <v>120</v>
      </c>
      <c r="C1968">
        <v>16</v>
      </c>
      <c r="D1968">
        <v>21.5</v>
      </c>
      <c r="E1968">
        <v>344</v>
      </c>
      <c r="F1968" s="1">
        <v>45729</v>
      </c>
      <c r="G1968" s="1">
        <v>45730</v>
      </c>
      <c r="H1968" t="s">
        <v>8</v>
      </c>
      <c r="I1968" t="s">
        <v>20</v>
      </c>
      <c r="J1968">
        <v>3</v>
      </c>
      <c r="K1968" t="s">
        <v>4</v>
      </c>
      <c r="L1968" t="s">
        <v>294</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2054</v>
      </c>
      <c r="B1969" t="s">
        <v>15</v>
      </c>
      <c r="C1969">
        <v>5</v>
      </c>
      <c r="D1969">
        <v>85.3</v>
      </c>
      <c r="E1969">
        <v>426.5</v>
      </c>
      <c r="F1969" s="1">
        <v>45729</v>
      </c>
      <c r="G1969" s="1">
        <v>45731</v>
      </c>
      <c r="H1969" t="s">
        <v>12</v>
      </c>
      <c r="I1969" t="s">
        <v>36</v>
      </c>
      <c r="J1969">
        <v>4</v>
      </c>
      <c r="K1969" t="s">
        <v>4</v>
      </c>
      <c r="L1969" t="s">
        <v>93</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2055</v>
      </c>
      <c r="B1970" t="s">
        <v>27</v>
      </c>
      <c r="C1970">
        <v>5</v>
      </c>
      <c r="D1970">
        <v>80.8</v>
      </c>
      <c r="E1970">
        <v>404</v>
      </c>
      <c r="F1970" s="1">
        <v>45729</v>
      </c>
      <c r="G1970" s="1">
        <v>45737</v>
      </c>
      <c r="H1970" t="s">
        <v>74</v>
      </c>
      <c r="I1970" t="s">
        <v>20</v>
      </c>
      <c r="J1970">
        <v>3</v>
      </c>
      <c r="K1970" t="s">
        <v>4</v>
      </c>
      <c r="L1970" t="s">
        <v>95</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2056</v>
      </c>
      <c r="B1971" t="s">
        <v>11</v>
      </c>
      <c r="C1971">
        <v>3</v>
      </c>
      <c r="D1971">
        <v>123.1</v>
      </c>
      <c r="E1971">
        <v>369.29999999999995</v>
      </c>
      <c r="F1971" s="1">
        <v>45729</v>
      </c>
      <c r="G1971" s="1">
        <v>45731</v>
      </c>
      <c r="H1971" t="s">
        <v>2</v>
      </c>
      <c r="I1971" t="s">
        <v>25</v>
      </c>
      <c r="J1971">
        <v>4</v>
      </c>
      <c r="K1971" t="s">
        <v>4</v>
      </c>
      <c r="L1971" t="s">
        <v>100</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2057</v>
      </c>
      <c r="B1972" t="s">
        <v>29</v>
      </c>
      <c r="C1972">
        <v>2</v>
      </c>
      <c r="D1972">
        <v>36.9</v>
      </c>
      <c r="E1972">
        <v>73.8</v>
      </c>
      <c r="F1972" s="1">
        <v>45729</v>
      </c>
      <c r="G1972" s="1">
        <v>45731</v>
      </c>
      <c r="H1972" t="s">
        <v>12</v>
      </c>
      <c r="I1972" t="s">
        <v>25</v>
      </c>
      <c r="J1972">
        <v>2</v>
      </c>
      <c r="K1972" t="s">
        <v>4</v>
      </c>
      <c r="L1972" t="s">
        <v>952</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2058</v>
      </c>
      <c r="B1973" t="s">
        <v>52</v>
      </c>
      <c r="C1973">
        <v>5</v>
      </c>
      <c r="D1973">
        <v>40</v>
      </c>
      <c r="E1973">
        <v>200</v>
      </c>
      <c r="F1973" s="1">
        <v>45729</v>
      </c>
      <c r="G1973" s="1">
        <v>45730</v>
      </c>
      <c r="H1973" t="s">
        <v>8</v>
      </c>
      <c r="I1973" t="s">
        <v>3</v>
      </c>
      <c r="J1973">
        <v>4</v>
      </c>
      <c r="K1973" t="s">
        <v>4</v>
      </c>
      <c r="L1973" t="s">
        <v>9</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2059</v>
      </c>
      <c r="B1974" t="s">
        <v>24</v>
      </c>
      <c r="C1974">
        <v>3</v>
      </c>
      <c r="D1974">
        <v>55.5</v>
      </c>
      <c r="E1974">
        <v>166.5</v>
      </c>
      <c r="F1974" s="1">
        <v>45729</v>
      </c>
      <c r="G1974" s="1">
        <v>45730</v>
      </c>
      <c r="H1974" t="s">
        <v>8</v>
      </c>
      <c r="I1974" t="s">
        <v>55</v>
      </c>
      <c r="J1974">
        <v>5</v>
      </c>
      <c r="K1974" t="s">
        <v>4</v>
      </c>
      <c r="L1974" t="s">
        <v>9</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2060</v>
      </c>
      <c r="B1975" t="s">
        <v>1</v>
      </c>
      <c r="C1975">
        <v>4</v>
      </c>
      <c r="D1975">
        <v>20.5</v>
      </c>
      <c r="E1975">
        <v>82</v>
      </c>
      <c r="F1975" s="1">
        <v>45729</v>
      </c>
      <c r="G1975" s="1">
        <v>45733</v>
      </c>
      <c r="H1975" t="s">
        <v>12</v>
      </c>
      <c r="I1975" t="s">
        <v>55</v>
      </c>
      <c r="J1975">
        <v>4</v>
      </c>
      <c r="K1975" t="s">
        <v>4</v>
      </c>
      <c r="L1975" t="s">
        <v>9</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2061</v>
      </c>
      <c r="B1976" t="s">
        <v>131</v>
      </c>
      <c r="C1976">
        <v>4</v>
      </c>
      <c r="D1976">
        <v>50.1</v>
      </c>
      <c r="E1976">
        <v>200.4</v>
      </c>
      <c r="F1976" s="1">
        <v>45729</v>
      </c>
      <c r="G1976" s="1">
        <v>45730</v>
      </c>
      <c r="H1976" t="s">
        <v>12</v>
      </c>
      <c r="I1976" t="s">
        <v>55</v>
      </c>
      <c r="J1976">
        <v>4</v>
      </c>
      <c r="K1976" t="s">
        <v>4</v>
      </c>
      <c r="L1976" t="s">
        <v>9</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2062</v>
      </c>
      <c r="B1977" t="s">
        <v>31</v>
      </c>
      <c r="C1977">
        <v>1</v>
      </c>
      <c r="D1977">
        <v>35.9</v>
      </c>
      <c r="E1977">
        <v>35.9</v>
      </c>
      <c r="F1977" s="1">
        <v>45729</v>
      </c>
      <c r="G1977" s="1">
        <v>45731</v>
      </c>
      <c r="H1977" t="s">
        <v>8</v>
      </c>
      <c r="I1977" t="s">
        <v>20</v>
      </c>
      <c r="J1977">
        <v>5</v>
      </c>
      <c r="K1977" t="s">
        <v>4</v>
      </c>
      <c r="L1977" t="s">
        <v>9</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2063</v>
      </c>
      <c r="B1978" t="s">
        <v>61</v>
      </c>
      <c r="C1978">
        <v>4</v>
      </c>
      <c r="D1978">
        <v>29.4</v>
      </c>
      <c r="E1978">
        <v>117.6</v>
      </c>
      <c r="F1978" s="1">
        <v>45730</v>
      </c>
      <c r="G1978" s="1">
        <v>45731</v>
      </c>
      <c r="H1978" t="s">
        <v>8</v>
      </c>
      <c r="I1978" t="s">
        <v>25</v>
      </c>
      <c r="J1978">
        <v>5</v>
      </c>
      <c r="K1978" t="s">
        <v>4</v>
      </c>
      <c r="L1978" t="s">
        <v>316</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2064</v>
      </c>
      <c r="B1979" t="s">
        <v>29</v>
      </c>
      <c r="C1979">
        <v>5</v>
      </c>
      <c r="D1979">
        <v>29.1</v>
      </c>
      <c r="E1979">
        <v>145.5</v>
      </c>
      <c r="F1979" s="1">
        <v>45730</v>
      </c>
      <c r="G1979" s="1">
        <v>45738</v>
      </c>
      <c r="H1979" t="s">
        <v>74</v>
      </c>
      <c r="I1979" t="s">
        <v>25</v>
      </c>
      <c r="J1979">
        <v>3</v>
      </c>
      <c r="K1979" t="s">
        <v>4</v>
      </c>
      <c r="L1979" t="s">
        <v>316</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2065</v>
      </c>
      <c r="B1980" t="s">
        <v>29</v>
      </c>
      <c r="C1980">
        <v>3</v>
      </c>
      <c r="D1980">
        <v>33.5</v>
      </c>
      <c r="E1980">
        <v>100.5</v>
      </c>
      <c r="F1980" s="1">
        <v>45730</v>
      </c>
      <c r="G1980" s="1">
        <v>45742</v>
      </c>
      <c r="H1980" t="s">
        <v>8</v>
      </c>
      <c r="I1980" t="s">
        <v>3</v>
      </c>
      <c r="J1980">
        <v>5</v>
      </c>
      <c r="K1980" t="s">
        <v>4</v>
      </c>
      <c r="L1980" t="s">
        <v>132</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2066</v>
      </c>
      <c r="B1981" t="s">
        <v>17</v>
      </c>
      <c r="C1981">
        <v>10</v>
      </c>
      <c r="D1981">
        <v>36</v>
      </c>
      <c r="E1981">
        <v>360</v>
      </c>
      <c r="F1981" s="1">
        <v>45730</v>
      </c>
      <c r="G1981" s="1">
        <v>45730</v>
      </c>
      <c r="H1981" t="s">
        <v>8</v>
      </c>
      <c r="I1981" t="s">
        <v>36</v>
      </c>
      <c r="J1981">
        <v>5</v>
      </c>
      <c r="K1981" t="s">
        <v>4</v>
      </c>
      <c r="L1981" t="s">
        <v>18</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2067</v>
      </c>
      <c r="B1982" t="s">
        <v>113</v>
      </c>
      <c r="C1982">
        <v>3</v>
      </c>
      <c r="D1982">
        <v>57.3</v>
      </c>
      <c r="E1982">
        <v>171.89999999999998</v>
      </c>
      <c r="F1982" s="1">
        <v>45730</v>
      </c>
      <c r="G1982" s="1">
        <v>45734</v>
      </c>
      <c r="H1982" t="s">
        <v>12</v>
      </c>
      <c r="I1982" t="s">
        <v>3</v>
      </c>
      <c r="J1982">
        <v>5</v>
      </c>
      <c r="K1982" t="s">
        <v>4</v>
      </c>
      <c r="L1982" t="s">
        <v>18</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2068</v>
      </c>
      <c r="B1983" t="s">
        <v>7</v>
      </c>
      <c r="C1983">
        <v>1</v>
      </c>
      <c r="D1983">
        <v>81.400000000000006</v>
      </c>
      <c r="E1983">
        <v>81.400000000000006</v>
      </c>
      <c r="F1983" s="1">
        <v>45730</v>
      </c>
      <c r="G1983" s="1">
        <v>45731</v>
      </c>
      <c r="H1983" t="s">
        <v>12</v>
      </c>
      <c r="I1983" t="s">
        <v>25</v>
      </c>
      <c r="J1983">
        <v>5</v>
      </c>
      <c r="K1983" t="s">
        <v>4</v>
      </c>
      <c r="L1983" t="s">
        <v>18</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2069</v>
      </c>
      <c r="B1984" t="s">
        <v>39</v>
      </c>
      <c r="C1984">
        <v>2</v>
      </c>
      <c r="D1984">
        <v>35.299999999999997</v>
      </c>
      <c r="E1984">
        <v>70.599999999999994</v>
      </c>
      <c r="F1984" s="1">
        <v>45730</v>
      </c>
      <c r="G1984" s="1">
        <v>45734</v>
      </c>
      <c r="H1984" t="s">
        <v>8</v>
      </c>
      <c r="I1984" t="s">
        <v>3</v>
      </c>
      <c r="J1984">
        <v>5</v>
      </c>
      <c r="K1984" t="s">
        <v>4</v>
      </c>
      <c r="L1984" t="s">
        <v>18</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2070</v>
      </c>
      <c r="B1985" t="s">
        <v>15</v>
      </c>
      <c r="C1985">
        <v>1</v>
      </c>
      <c r="D1985">
        <v>36.1</v>
      </c>
      <c r="E1985">
        <v>36.1</v>
      </c>
      <c r="F1985" s="1">
        <v>45730</v>
      </c>
      <c r="G1985" s="1">
        <v>45731</v>
      </c>
      <c r="H1985" t="s">
        <v>12</v>
      </c>
      <c r="I1985" t="s">
        <v>55</v>
      </c>
      <c r="J1985">
        <v>4</v>
      </c>
      <c r="K1985" t="s">
        <v>4</v>
      </c>
      <c r="L1985" t="s">
        <v>18</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2071</v>
      </c>
      <c r="B1986" t="s">
        <v>7</v>
      </c>
      <c r="C1986">
        <v>2</v>
      </c>
      <c r="D1986">
        <v>36.700000000000003</v>
      </c>
      <c r="E1986">
        <v>73.400000000000006</v>
      </c>
      <c r="F1986" s="1">
        <v>45730</v>
      </c>
      <c r="G1986" s="1">
        <v>45732</v>
      </c>
      <c r="H1986" t="s">
        <v>12</v>
      </c>
      <c r="I1986" t="s">
        <v>3</v>
      </c>
      <c r="J1986">
        <v>5</v>
      </c>
      <c r="K1986" t="s">
        <v>4</v>
      </c>
      <c r="L1986" t="s">
        <v>18</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2072</v>
      </c>
      <c r="B1987" t="s">
        <v>39</v>
      </c>
      <c r="C1987">
        <v>1</v>
      </c>
      <c r="D1987">
        <v>20.9</v>
      </c>
      <c r="E1987">
        <v>20.9</v>
      </c>
      <c r="F1987" s="1">
        <v>45730</v>
      </c>
      <c r="G1987" s="1">
        <v>45732</v>
      </c>
      <c r="H1987" t="s">
        <v>12</v>
      </c>
      <c r="I1987" t="s">
        <v>3</v>
      </c>
      <c r="J1987">
        <v>2</v>
      </c>
      <c r="K1987" t="s">
        <v>4</v>
      </c>
      <c r="L1987" t="s">
        <v>18</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2073</v>
      </c>
      <c r="B1988" t="s">
        <v>54</v>
      </c>
      <c r="C1988">
        <v>3</v>
      </c>
      <c r="D1988">
        <v>58.8</v>
      </c>
      <c r="E1988">
        <v>176.39999999999998</v>
      </c>
      <c r="F1988" s="1">
        <v>45730</v>
      </c>
      <c r="G1988" s="1">
        <v>45734</v>
      </c>
      <c r="H1988" t="s">
        <v>8</v>
      </c>
      <c r="I1988" t="s">
        <v>3</v>
      </c>
      <c r="J1988">
        <v>5</v>
      </c>
      <c r="K1988" t="s">
        <v>4</v>
      </c>
      <c r="L1988" t="s">
        <v>173</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2074</v>
      </c>
      <c r="B1989" t="s">
        <v>11</v>
      </c>
      <c r="C1989">
        <v>3</v>
      </c>
      <c r="D1989">
        <v>97.6</v>
      </c>
      <c r="E1989">
        <v>292.79999999999995</v>
      </c>
      <c r="F1989" s="1">
        <v>45731</v>
      </c>
      <c r="G1989" s="1">
        <v>45733</v>
      </c>
      <c r="H1989" t="s">
        <v>2</v>
      </c>
      <c r="I1989" t="s">
        <v>3</v>
      </c>
      <c r="J1989">
        <v>4</v>
      </c>
      <c r="K1989" t="s">
        <v>4</v>
      </c>
      <c r="L1989" t="s">
        <v>40</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2075</v>
      </c>
      <c r="B1990" t="s">
        <v>7</v>
      </c>
      <c r="C1990">
        <v>2</v>
      </c>
      <c r="D1990">
        <v>58.7</v>
      </c>
      <c r="E1990">
        <v>117.4</v>
      </c>
      <c r="F1990" s="1">
        <v>45731</v>
      </c>
      <c r="G1990" s="1">
        <v>45734</v>
      </c>
      <c r="H1990" t="s">
        <v>12</v>
      </c>
      <c r="I1990" t="s">
        <v>3</v>
      </c>
      <c r="J1990">
        <v>3</v>
      </c>
      <c r="K1990" t="s">
        <v>4</v>
      </c>
      <c r="L1990" t="s">
        <v>40</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2076</v>
      </c>
      <c r="B1991" t="s">
        <v>24</v>
      </c>
      <c r="C1991">
        <v>5</v>
      </c>
      <c r="D1991">
        <v>71.900000000000006</v>
      </c>
      <c r="E1991">
        <v>359.5</v>
      </c>
      <c r="F1991" s="1">
        <v>45731</v>
      </c>
      <c r="G1991" s="1">
        <v>45732</v>
      </c>
      <c r="H1991" t="s">
        <v>2</v>
      </c>
      <c r="I1991" t="s">
        <v>3</v>
      </c>
      <c r="J1991">
        <v>3</v>
      </c>
      <c r="K1991" t="s">
        <v>4</v>
      </c>
      <c r="L1991" t="s">
        <v>40</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2077</v>
      </c>
      <c r="B1992" t="s">
        <v>7</v>
      </c>
      <c r="C1992">
        <v>2</v>
      </c>
      <c r="D1992">
        <v>62.4</v>
      </c>
      <c r="E1992">
        <v>124.8</v>
      </c>
      <c r="F1992" s="1">
        <v>45731</v>
      </c>
      <c r="G1992" s="1">
        <v>45733</v>
      </c>
      <c r="H1992" t="s">
        <v>2</v>
      </c>
      <c r="I1992" t="s">
        <v>3</v>
      </c>
      <c r="J1992">
        <v>3</v>
      </c>
      <c r="K1992" t="s">
        <v>4</v>
      </c>
      <c r="L1992" t="s">
        <v>47</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2078</v>
      </c>
      <c r="B1993" t="s">
        <v>24</v>
      </c>
      <c r="C1993">
        <v>16</v>
      </c>
      <c r="D1993">
        <v>53.8</v>
      </c>
      <c r="E1993">
        <v>860.8</v>
      </c>
      <c r="F1993" s="1">
        <v>45731</v>
      </c>
      <c r="G1993" s="1">
        <v>45732</v>
      </c>
      <c r="H1993" t="s">
        <v>12</v>
      </c>
      <c r="I1993" t="s">
        <v>20</v>
      </c>
      <c r="J1993">
        <v>4</v>
      </c>
      <c r="K1993" t="s">
        <v>4</v>
      </c>
      <c r="L1993" t="s">
        <v>47</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2079</v>
      </c>
      <c r="B1994" t="s">
        <v>31</v>
      </c>
      <c r="C1994">
        <v>1</v>
      </c>
      <c r="D1994">
        <v>43.8</v>
      </c>
      <c r="E1994">
        <v>43.8</v>
      </c>
      <c r="F1994" s="1">
        <v>45731</v>
      </c>
      <c r="G1994" s="1">
        <v>45738</v>
      </c>
      <c r="H1994" t="s">
        <v>12</v>
      </c>
      <c r="I1994" t="s">
        <v>3</v>
      </c>
      <c r="J1994">
        <v>5</v>
      </c>
      <c r="K1994" t="s">
        <v>4</v>
      </c>
      <c r="L1994" t="s">
        <v>47</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2080</v>
      </c>
      <c r="B1995" t="s">
        <v>22</v>
      </c>
      <c r="C1995">
        <v>3</v>
      </c>
      <c r="D1995">
        <v>53.6</v>
      </c>
      <c r="E1995">
        <v>160.80000000000001</v>
      </c>
      <c r="F1995" s="1">
        <v>45731</v>
      </c>
      <c r="G1995" s="1">
        <v>45732</v>
      </c>
      <c r="H1995" t="s">
        <v>8</v>
      </c>
      <c r="I1995" t="s">
        <v>36</v>
      </c>
      <c r="J1995">
        <v>4</v>
      </c>
      <c r="K1995" t="s">
        <v>4</v>
      </c>
      <c r="L1995" t="s">
        <v>47</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2081</v>
      </c>
      <c r="B1996" t="s">
        <v>54</v>
      </c>
      <c r="C1996">
        <v>2</v>
      </c>
      <c r="D1996">
        <v>84.3</v>
      </c>
      <c r="E1996">
        <v>168.6</v>
      </c>
      <c r="F1996" s="1">
        <v>45731</v>
      </c>
      <c r="G1996" s="1">
        <v>45734</v>
      </c>
      <c r="H1996" t="s">
        <v>8</v>
      </c>
      <c r="I1996" t="s">
        <v>55</v>
      </c>
      <c r="J1996">
        <v>3</v>
      </c>
      <c r="K1996" t="s">
        <v>4</v>
      </c>
      <c r="L1996" t="s">
        <v>47</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2082</v>
      </c>
      <c r="B1997" t="s">
        <v>24</v>
      </c>
      <c r="C1997">
        <v>9</v>
      </c>
      <c r="D1997">
        <v>117.9</v>
      </c>
      <c r="E1997">
        <v>1061.1000000000001</v>
      </c>
      <c r="F1997" s="1">
        <v>45731</v>
      </c>
      <c r="G1997" s="1">
        <v>45732</v>
      </c>
      <c r="H1997" t="s">
        <v>12</v>
      </c>
      <c r="I1997" t="s">
        <v>20</v>
      </c>
      <c r="J1997">
        <v>5</v>
      </c>
      <c r="K1997" t="s">
        <v>4</v>
      </c>
      <c r="L1997" t="s">
        <v>47</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2083</v>
      </c>
      <c r="B1998" t="s">
        <v>17</v>
      </c>
      <c r="C1998">
        <v>8</v>
      </c>
      <c r="D1998">
        <v>30</v>
      </c>
      <c r="E1998">
        <v>240</v>
      </c>
      <c r="F1998" s="1">
        <v>45731</v>
      </c>
      <c r="G1998" s="1">
        <v>45732</v>
      </c>
      <c r="H1998" t="s">
        <v>12</v>
      </c>
      <c r="I1998" t="s">
        <v>20</v>
      </c>
      <c r="J1998">
        <v>4</v>
      </c>
      <c r="K1998" t="s">
        <v>4</v>
      </c>
      <c r="L1998" t="s">
        <v>186</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2084</v>
      </c>
      <c r="B1999" t="s">
        <v>66</v>
      </c>
      <c r="C1999">
        <v>3</v>
      </c>
      <c r="D1999">
        <v>37.299999999999997</v>
      </c>
      <c r="E1999">
        <v>111.89999999999999</v>
      </c>
      <c r="F1999" s="1">
        <v>45731</v>
      </c>
      <c r="G1999" s="1">
        <v>45732</v>
      </c>
      <c r="H1999" t="s">
        <v>8</v>
      </c>
      <c r="I1999" t="s">
        <v>25</v>
      </c>
      <c r="J1999">
        <v>4</v>
      </c>
      <c r="K1999" t="s">
        <v>4</v>
      </c>
      <c r="L1999" t="s">
        <v>57</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2085</v>
      </c>
      <c r="B2000" t="s">
        <v>17</v>
      </c>
      <c r="C2000">
        <v>9</v>
      </c>
      <c r="D2000">
        <v>25.1</v>
      </c>
      <c r="E2000">
        <v>225.9</v>
      </c>
      <c r="F2000" s="1">
        <v>45731</v>
      </c>
      <c r="G2000" s="1">
        <v>45733</v>
      </c>
      <c r="H2000" t="s">
        <v>8</v>
      </c>
      <c r="I2000" t="s">
        <v>20</v>
      </c>
      <c r="J2000">
        <v>5</v>
      </c>
      <c r="K2000" t="s">
        <v>4</v>
      </c>
      <c r="L2000" t="s">
        <v>62</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2086</v>
      </c>
      <c r="B2001" t="s">
        <v>29</v>
      </c>
      <c r="C2001">
        <v>11</v>
      </c>
      <c r="D2001">
        <v>36</v>
      </c>
      <c r="E2001">
        <v>396</v>
      </c>
      <c r="F2001" s="1">
        <v>45731</v>
      </c>
      <c r="G2001" s="1">
        <v>45741</v>
      </c>
      <c r="H2001" t="s">
        <v>8</v>
      </c>
      <c r="I2001" t="s">
        <v>20</v>
      </c>
      <c r="J2001">
        <v>4</v>
      </c>
      <c r="K2001" t="s">
        <v>4</v>
      </c>
      <c r="L2001" t="s">
        <v>93</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2087</v>
      </c>
      <c r="B2002" t="s">
        <v>113</v>
      </c>
      <c r="C2002">
        <v>3</v>
      </c>
      <c r="D2002">
        <v>48.5</v>
      </c>
      <c r="E2002">
        <v>145.5</v>
      </c>
      <c r="F2002" s="1">
        <v>45731</v>
      </c>
      <c r="G2002" s="1">
        <v>45735</v>
      </c>
      <c r="H2002" t="s">
        <v>12</v>
      </c>
      <c r="I2002" t="s">
        <v>20</v>
      </c>
      <c r="J2002">
        <v>4</v>
      </c>
      <c r="K2002" t="s">
        <v>4</v>
      </c>
      <c r="L2002" t="s">
        <v>95</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2088</v>
      </c>
      <c r="B2003" t="s">
        <v>120</v>
      </c>
      <c r="C2003">
        <v>6</v>
      </c>
      <c r="D2003">
        <v>21.1</v>
      </c>
      <c r="E2003">
        <v>126.60000000000001</v>
      </c>
      <c r="F2003" s="1">
        <v>45731</v>
      </c>
      <c r="G2003" s="1">
        <v>45732</v>
      </c>
      <c r="H2003" t="s">
        <v>8</v>
      </c>
      <c r="I2003" t="s">
        <v>20</v>
      </c>
      <c r="J2003">
        <v>5</v>
      </c>
      <c r="K2003" t="s">
        <v>4</v>
      </c>
      <c r="L2003" t="s">
        <v>100</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2089</v>
      </c>
      <c r="B2004" t="s">
        <v>108</v>
      </c>
      <c r="C2004">
        <v>14</v>
      </c>
      <c r="D2004">
        <v>43.2</v>
      </c>
      <c r="E2004">
        <v>604.80000000000007</v>
      </c>
      <c r="F2004" s="1">
        <v>45731</v>
      </c>
      <c r="G2004" s="1">
        <v>45732</v>
      </c>
      <c r="H2004" t="s">
        <v>74</v>
      </c>
      <c r="I2004" t="s">
        <v>3</v>
      </c>
      <c r="J2004">
        <v>3</v>
      </c>
      <c r="K2004" t="s">
        <v>4</v>
      </c>
      <c r="L2004" t="s">
        <v>100</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2090</v>
      </c>
      <c r="B2005" t="s">
        <v>31</v>
      </c>
      <c r="C2005">
        <v>2</v>
      </c>
      <c r="D2005">
        <v>21.1</v>
      </c>
      <c r="E2005">
        <v>42.2</v>
      </c>
      <c r="F2005" s="1">
        <v>45731</v>
      </c>
      <c r="G2005" s="1">
        <v>45732</v>
      </c>
      <c r="H2005" t="s">
        <v>2</v>
      </c>
      <c r="I2005" t="s">
        <v>36</v>
      </c>
      <c r="J2005">
        <v>3</v>
      </c>
      <c r="K2005" t="s">
        <v>4</v>
      </c>
      <c r="L2005" t="s">
        <v>100</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2091</v>
      </c>
      <c r="B2006" t="s">
        <v>24</v>
      </c>
      <c r="C2006">
        <v>4</v>
      </c>
      <c r="D2006">
        <v>41.3</v>
      </c>
      <c r="E2006">
        <v>165.2</v>
      </c>
      <c r="F2006" s="1">
        <v>45731</v>
      </c>
      <c r="G2006" s="1">
        <v>45733</v>
      </c>
      <c r="H2006" t="s">
        <v>12</v>
      </c>
      <c r="I2006" t="s">
        <v>36</v>
      </c>
      <c r="J2006">
        <v>5</v>
      </c>
      <c r="K2006" t="s">
        <v>4</v>
      </c>
      <c r="L2006" t="s">
        <v>9</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2092</v>
      </c>
      <c r="B2007" t="s">
        <v>29</v>
      </c>
      <c r="C2007">
        <v>2</v>
      </c>
      <c r="D2007">
        <v>15.3</v>
      </c>
      <c r="E2007">
        <v>30.6</v>
      </c>
      <c r="F2007" s="1">
        <v>45731</v>
      </c>
      <c r="G2007" s="1">
        <v>45734</v>
      </c>
      <c r="H2007" t="s">
        <v>2</v>
      </c>
      <c r="I2007" t="s">
        <v>25</v>
      </c>
      <c r="J2007">
        <v>5</v>
      </c>
      <c r="K2007" t="s">
        <v>4</v>
      </c>
      <c r="L2007" t="s">
        <v>9</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2093</v>
      </c>
      <c r="B2008" t="s">
        <v>7</v>
      </c>
      <c r="C2008">
        <v>1</v>
      </c>
      <c r="D2008">
        <v>54.6</v>
      </c>
      <c r="E2008">
        <v>54.6</v>
      </c>
      <c r="F2008" s="1">
        <v>45731</v>
      </c>
      <c r="G2008" s="1">
        <v>45733</v>
      </c>
      <c r="H2008" t="s">
        <v>8</v>
      </c>
      <c r="I2008" t="s">
        <v>20</v>
      </c>
      <c r="J2008">
        <v>3</v>
      </c>
      <c r="K2008" t="s">
        <v>4</v>
      </c>
      <c r="L2008" t="s">
        <v>13</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2094</v>
      </c>
      <c r="B2009" t="s">
        <v>29</v>
      </c>
      <c r="C2009">
        <v>1</v>
      </c>
      <c r="D2009">
        <v>15.9</v>
      </c>
      <c r="E2009">
        <v>15.9</v>
      </c>
      <c r="F2009" s="1">
        <v>45731</v>
      </c>
      <c r="G2009" s="1">
        <v>45732</v>
      </c>
      <c r="H2009" t="s">
        <v>8</v>
      </c>
      <c r="I2009" t="s">
        <v>3</v>
      </c>
      <c r="J2009">
        <v>3</v>
      </c>
      <c r="K2009" t="s">
        <v>4</v>
      </c>
      <c r="L2009" t="s">
        <v>132</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2095</v>
      </c>
      <c r="B2010" t="s">
        <v>31</v>
      </c>
      <c r="C2010">
        <v>1</v>
      </c>
      <c r="D2010">
        <v>50.2</v>
      </c>
      <c r="E2010">
        <v>50.2</v>
      </c>
      <c r="F2010" s="1">
        <v>45731</v>
      </c>
      <c r="G2010" s="1">
        <v>45733</v>
      </c>
      <c r="H2010" t="s">
        <v>12</v>
      </c>
      <c r="I2010" t="s">
        <v>36</v>
      </c>
      <c r="J2010">
        <v>5</v>
      </c>
      <c r="K2010" t="s">
        <v>4</v>
      </c>
      <c r="L2010" t="s">
        <v>319</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2096</v>
      </c>
      <c r="B2011" t="s">
        <v>52</v>
      </c>
      <c r="C2011">
        <v>4</v>
      </c>
      <c r="D2011">
        <v>85.1</v>
      </c>
      <c r="E2011">
        <v>340.4</v>
      </c>
      <c r="F2011" s="1">
        <v>45731</v>
      </c>
      <c r="G2011" s="1">
        <v>45732</v>
      </c>
      <c r="H2011" t="s">
        <v>12</v>
      </c>
      <c r="I2011" t="s">
        <v>36</v>
      </c>
      <c r="J2011">
        <v>2</v>
      </c>
      <c r="K2011" t="s">
        <v>4</v>
      </c>
      <c r="L2011" t="s">
        <v>319</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2097</v>
      </c>
      <c r="B2012" t="s">
        <v>52</v>
      </c>
      <c r="C2012">
        <v>2</v>
      </c>
      <c r="D2012">
        <v>41.4</v>
      </c>
      <c r="E2012">
        <v>82.8</v>
      </c>
      <c r="F2012" s="1">
        <v>45731</v>
      </c>
      <c r="G2012" s="1">
        <v>45732</v>
      </c>
      <c r="H2012" t="s">
        <v>12</v>
      </c>
      <c r="I2012" t="s">
        <v>3</v>
      </c>
      <c r="J2012">
        <v>5</v>
      </c>
      <c r="K2012" t="s">
        <v>4</v>
      </c>
      <c r="L2012" t="s">
        <v>18</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2098</v>
      </c>
      <c r="B2013" t="s">
        <v>17</v>
      </c>
      <c r="C2013">
        <v>7</v>
      </c>
      <c r="D2013">
        <v>32.700000000000003</v>
      </c>
      <c r="E2013">
        <v>228.90000000000003</v>
      </c>
      <c r="F2013" s="1">
        <v>45731</v>
      </c>
      <c r="G2013" s="1">
        <v>45732</v>
      </c>
      <c r="H2013" t="s">
        <v>12</v>
      </c>
      <c r="I2013" t="s">
        <v>25</v>
      </c>
      <c r="J2013">
        <v>3</v>
      </c>
      <c r="K2013" t="s">
        <v>4</v>
      </c>
      <c r="L2013" t="s">
        <v>18</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2099</v>
      </c>
      <c r="B2014" t="s">
        <v>17</v>
      </c>
      <c r="C2014">
        <v>2</v>
      </c>
      <c r="D2014">
        <v>41.6</v>
      </c>
      <c r="E2014">
        <v>83.2</v>
      </c>
      <c r="F2014" s="1">
        <v>45731</v>
      </c>
      <c r="G2014" s="1">
        <v>45733</v>
      </c>
      <c r="H2014" t="s">
        <v>8</v>
      </c>
      <c r="I2014" t="s">
        <v>55</v>
      </c>
      <c r="J2014">
        <v>3</v>
      </c>
      <c r="K2014" t="s">
        <v>4</v>
      </c>
      <c r="L2014" t="s">
        <v>18</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2100</v>
      </c>
      <c r="B2015" t="s">
        <v>22</v>
      </c>
      <c r="C2015">
        <v>4</v>
      </c>
      <c r="D2015">
        <v>64.8</v>
      </c>
      <c r="E2015">
        <v>259.2</v>
      </c>
      <c r="F2015" s="1">
        <v>45731</v>
      </c>
      <c r="G2015" s="1">
        <v>45732</v>
      </c>
      <c r="H2015" t="s">
        <v>2</v>
      </c>
      <c r="I2015" t="s">
        <v>25</v>
      </c>
      <c r="J2015">
        <v>4</v>
      </c>
      <c r="K2015" t="s">
        <v>4</v>
      </c>
      <c r="L2015" t="s">
        <v>18</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2101</v>
      </c>
      <c r="B2016" t="s">
        <v>108</v>
      </c>
      <c r="C2016">
        <v>2</v>
      </c>
      <c r="D2016">
        <v>33.6</v>
      </c>
      <c r="E2016">
        <v>67.2</v>
      </c>
      <c r="F2016" s="1">
        <v>45731</v>
      </c>
      <c r="G2016" s="1">
        <v>45732</v>
      </c>
      <c r="H2016" t="s">
        <v>8</v>
      </c>
      <c r="I2016" t="s">
        <v>3</v>
      </c>
      <c r="J2016">
        <v>5</v>
      </c>
      <c r="K2016" t="s">
        <v>4</v>
      </c>
      <c r="L2016" t="s">
        <v>18</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2102</v>
      </c>
      <c r="B2017" t="s">
        <v>24</v>
      </c>
      <c r="C2017">
        <v>3</v>
      </c>
      <c r="D2017">
        <v>100.7</v>
      </c>
      <c r="E2017">
        <v>302.10000000000002</v>
      </c>
      <c r="F2017" s="1">
        <v>45731</v>
      </c>
      <c r="G2017" s="1">
        <v>45732</v>
      </c>
      <c r="H2017" t="s">
        <v>2</v>
      </c>
      <c r="I2017" t="s">
        <v>20</v>
      </c>
      <c r="J2017">
        <v>4</v>
      </c>
      <c r="K2017" t="s">
        <v>4</v>
      </c>
      <c r="L2017" t="s">
        <v>18</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2103</v>
      </c>
      <c r="B2018" t="s">
        <v>17</v>
      </c>
      <c r="C2018">
        <v>2</v>
      </c>
      <c r="D2018">
        <v>49.3</v>
      </c>
      <c r="E2018">
        <v>98.6</v>
      </c>
      <c r="F2018" s="1">
        <v>45732</v>
      </c>
      <c r="G2018" s="1">
        <v>45734</v>
      </c>
      <c r="H2018" t="s">
        <v>12</v>
      </c>
      <c r="I2018" t="s">
        <v>55</v>
      </c>
      <c r="J2018">
        <v>5</v>
      </c>
      <c r="K2018" t="s">
        <v>4</v>
      </c>
      <c r="L2018" t="s">
        <v>18</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2104</v>
      </c>
      <c r="B2019" t="s">
        <v>11</v>
      </c>
      <c r="C2019">
        <v>6</v>
      </c>
      <c r="D2019">
        <v>97</v>
      </c>
      <c r="E2019">
        <v>582</v>
      </c>
      <c r="F2019" s="1">
        <v>45732</v>
      </c>
      <c r="G2019" s="1">
        <v>45735</v>
      </c>
      <c r="H2019" t="s">
        <v>8</v>
      </c>
      <c r="I2019" t="s">
        <v>25</v>
      </c>
      <c r="J2019">
        <v>5</v>
      </c>
      <c r="K2019" t="s">
        <v>4</v>
      </c>
      <c r="L2019" t="s">
        <v>18</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2105</v>
      </c>
      <c r="B2020" t="s">
        <v>1</v>
      </c>
      <c r="C2020">
        <v>6</v>
      </c>
      <c r="D2020">
        <v>25.2</v>
      </c>
      <c r="E2020">
        <v>151.19999999999999</v>
      </c>
      <c r="F2020" s="1">
        <v>45732</v>
      </c>
      <c r="G2020" s="1">
        <v>45735</v>
      </c>
      <c r="H2020" t="s">
        <v>12</v>
      </c>
      <c r="I2020" t="s">
        <v>55</v>
      </c>
      <c r="J2020">
        <v>5</v>
      </c>
      <c r="K2020" t="s">
        <v>4</v>
      </c>
      <c r="L2020" t="s">
        <v>18</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2106</v>
      </c>
      <c r="B2021" t="s">
        <v>1</v>
      </c>
      <c r="C2021">
        <v>11</v>
      </c>
      <c r="D2021">
        <v>12.2</v>
      </c>
      <c r="E2021">
        <v>134.19999999999999</v>
      </c>
      <c r="F2021" s="1">
        <v>45732</v>
      </c>
      <c r="G2021" s="1">
        <v>45733</v>
      </c>
      <c r="H2021" t="s">
        <v>2</v>
      </c>
      <c r="I2021" t="s">
        <v>3</v>
      </c>
      <c r="J2021">
        <v>3</v>
      </c>
      <c r="K2021" t="s">
        <v>4</v>
      </c>
      <c r="L2021" t="s">
        <v>18</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2107</v>
      </c>
      <c r="B2022" t="s">
        <v>29</v>
      </c>
      <c r="C2022">
        <v>7</v>
      </c>
      <c r="D2022">
        <v>38.799999999999997</v>
      </c>
      <c r="E2022">
        <v>271.59999999999997</v>
      </c>
      <c r="F2022" s="1">
        <v>45732</v>
      </c>
      <c r="G2022" s="1">
        <v>45734</v>
      </c>
      <c r="H2022" t="s">
        <v>12</v>
      </c>
      <c r="I2022" t="s">
        <v>20</v>
      </c>
      <c r="J2022">
        <v>3</v>
      </c>
      <c r="K2022" t="s">
        <v>4</v>
      </c>
      <c r="L2022" t="s">
        <v>143</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2108</v>
      </c>
      <c r="B2023" t="s">
        <v>11</v>
      </c>
      <c r="C2023">
        <v>4</v>
      </c>
      <c r="D2023">
        <v>53.2</v>
      </c>
      <c r="E2023">
        <v>212.8</v>
      </c>
      <c r="F2023" s="1">
        <v>45732</v>
      </c>
      <c r="G2023" s="1">
        <v>45733</v>
      </c>
      <c r="H2023" t="s">
        <v>8</v>
      </c>
      <c r="I2023" t="s">
        <v>3</v>
      </c>
      <c r="J2023">
        <v>5</v>
      </c>
      <c r="K2023" t="s">
        <v>4</v>
      </c>
      <c r="L2023" t="s">
        <v>47</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2109</v>
      </c>
      <c r="B2024" t="s">
        <v>24</v>
      </c>
      <c r="C2024">
        <v>7</v>
      </c>
      <c r="D2024">
        <v>151</v>
      </c>
      <c r="E2024">
        <v>1057</v>
      </c>
      <c r="F2024" s="1">
        <v>45732</v>
      </c>
      <c r="G2024" s="1">
        <v>45733</v>
      </c>
      <c r="H2024" t="s">
        <v>74</v>
      </c>
      <c r="I2024" t="s">
        <v>20</v>
      </c>
      <c r="J2024">
        <v>3</v>
      </c>
      <c r="K2024" t="s">
        <v>4</v>
      </c>
      <c r="L2024" t="s">
        <v>47</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2110</v>
      </c>
      <c r="B2025" t="s">
        <v>7</v>
      </c>
      <c r="C2025">
        <v>2</v>
      </c>
      <c r="D2025">
        <v>37.1</v>
      </c>
      <c r="E2025">
        <v>74.2</v>
      </c>
      <c r="F2025" s="1">
        <v>45732</v>
      </c>
      <c r="G2025" s="1">
        <v>45733</v>
      </c>
      <c r="H2025" t="s">
        <v>12</v>
      </c>
      <c r="I2025" t="s">
        <v>55</v>
      </c>
      <c r="J2025">
        <v>4</v>
      </c>
      <c r="K2025" t="s">
        <v>4</v>
      </c>
      <c r="L2025" t="s">
        <v>47</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2111</v>
      </c>
      <c r="B2026" t="s">
        <v>22</v>
      </c>
      <c r="C2026">
        <v>2</v>
      </c>
      <c r="D2026">
        <v>38.9</v>
      </c>
      <c r="E2026">
        <v>77.8</v>
      </c>
      <c r="F2026" s="1">
        <v>45732</v>
      </c>
      <c r="G2026" s="1">
        <v>45733</v>
      </c>
      <c r="H2026" t="s">
        <v>8</v>
      </c>
      <c r="I2026" t="s">
        <v>55</v>
      </c>
      <c r="J2026">
        <v>4</v>
      </c>
      <c r="K2026" t="s">
        <v>4</v>
      </c>
      <c r="L2026" t="s">
        <v>47</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2112</v>
      </c>
      <c r="B2027" t="s">
        <v>39</v>
      </c>
      <c r="C2027">
        <v>2</v>
      </c>
      <c r="D2027">
        <v>35.200000000000003</v>
      </c>
      <c r="E2027">
        <v>70.400000000000006</v>
      </c>
      <c r="F2027" s="1">
        <v>45732</v>
      </c>
      <c r="G2027" s="1">
        <v>45733</v>
      </c>
      <c r="H2027" t="s">
        <v>8</v>
      </c>
      <c r="I2027" t="s">
        <v>3</v>
      </c>
      <c r="J2027">
        <v>5</v>
      </c>
      <c r="K2027" t="s">
        <v>4</v>
      </c>
      <c r="L2027" t="s">
        <v>88</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2113</v>
      </c>
      <c r="B2028" t="s">
        <v>1</v>
      </c>
      <c r="C2028">
        <v>2</v>
      </c>
      <c r="D2028">
        <v>22.3</v>
      </c>
      <c r="E2028">
        <v>44.6</v>
      </c>
      <c r="F2028" s="1">
        <v>45732</v>
      </c>
      <c r="G2028" s="1">
        <v>45734</v>
      </c>
      <c r="H2028" t="s">
        <v>12</v>
      </c>
      <c r="I2028" t="s">
        <v>20</v>
      </c>
      <c r="J2028">
        <v>4</v>
      </c>
      <c r="K2028" t="s">
        <v>4</v>
      </c>
      <c r="L2028" t="s">
        <v>57</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2114</v>
      </c>
      <c r="B2029" t="s">
        <v>31</v>
      </c>
      <c r="C2029">
        <v>1</v>
      </c>
      <c r="D2029">
        <v>43.3</v>
      </c>
      <c r="E2029">
        <v>43.3</v>
      </c>
      <c r="F2029" s="1">
        <v>45732</v>
      </c>
      <c r="G2029" s="1">
        <v>45735</v>
      </c>
      <c r="H2029" t="s">
        <v>12</v>
      </c>
      <c r="I2029" t="s">
        <v>3</v>
      </c>
      <c r="J2029">
        <v>5</v>
      </c>
      <c r="K2029" t="s">
        <v>4</v>
      </c>
      <c r="L2029" t="s">
        <v>62</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2115</v>
      </c>
      <c r="B2030" t="s">
        <v>24</v>
      </c>
      <c r="C2030">
        <v>6</v>
      </c>
      <c r="D2030">
        <v>75.900000000000006</v>
      </c>
      <c r="E2030">
        <v>455.40000000000003</v>
      </c>
      <c r="F2030" s="1">
        <v>45732</v>
      </c>
      <c r="G2030" s="1">
        <v>45738</v>
      </c>
      <c r="H2030" t="s">
        <v>8</v>
      </c>
      <c r="I2030" t="s">
        <v>3</v>
      </c>
      <c r="J2030">
        <v>4</v>
      </c>
      <c r="K2030" t="s">
        <v>4</v>
      </c>
      <c r="L2030" t="s">
        <v>62</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2116</v>
      </c>
      <c r="B2031" t="s">
        <v>24</v>
      </c>
      <c r="C2031">
        <v>3</v>
      </c>
      <c r="D2031">
        <v>78.7</v>
      </c>
      <c r="E2031">
        <v>236.10000000000002</v>
      </c>
      <c r="F2031" s="1">
        <v>45732</v>
      </c>
      <c r="G2031" s="1">
        <v>45736</v>
      </c>
      <c r="H2031" t="s">
        <v>12</v>
      </c>
      <c r="I2031" t="s">
        <v>25</v>
      </c>
      <c r="J2031">
        <v>3</v>
      </c>
      <c r="K2031" t="s">
        <v>4</v>
      </c>
      <c r="L2031" t="s">
        <v>62</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2117</v>
      </c>
      <c r="B2032" t="s">
        <v>7</v>
      </c>
      <c r="C2032">
        <v>1</v>
      </c>
      <c r="D2032">
        <v>66.3</v>
      </c>
      <c r="E2032">
        <v>66.3</v>
      </c>
      <c r="F2032" s="1">
        <v>45732</v>
      </c>
      <c r="G2032" s="1">
        <v>45736</v>
      </c>
      <c r="H2032" t="s">
        <v>12</v>
      </c>
      <c r="I2032" t="s">
        <v>3</v>
      </c>
      <c r="J2032">
        <v>5</v>
      </c>
      <c r="K2032" t="s">
        <v>4</v>
      </c>
      <c r="L2032" t="s">
        <v>95</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2118</v>
      </c>
      <c r="B2033" t="s">
        <v>29</v>
      </c>
      <c r="C2033">
        <v>2</v>
      </c>
      <c r="D2033">
        <v>33.6</v>
      </c>
      <c r="E2033">
        <v>67.2</v>
      </c>
      <c r="F2033" s="1">
        <v>45732</v>
      </c>
      <c r="G2033" s="1">
        <v>45732</v>
      </c>
      <c r="H2033" t="s">
        <v>8</v>
      </c>
      <c r="I2033" t="s">
        <v>3</v>
      </c>
      <c r="J2033">
        <v>3</v>
      </c>
      <c r="K2033" t="s">
        <v>4</v>
      </c>
      <c r="L2033" t="s">
        <v>95</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2119</v>
      </c>
      <c r="B2034" t="s">
        <v>11</v>
      </c>
      <c r="C2034">
        <v>7</v>
      </c>
      <c r="D2034">
        <v>61.4</v>
      </c>
      <c r="E2034">
        <v>429.8</v>
      </c>
      <c r="F2034" s="1">
        <v>45732</v>
      </c>
      <c r="G2034" s="1">
        <v>45733</v>
      </c>
      <c r="H2034" t="s">
        <v>8</v>
      </c>
      <c r="I2034" t="s">
        <v>55</v>
      </c>
      <c r="J2034">
        <v>4</v>
      </c>
      <c r="K2034" t="s">
        <v>4</v>
      </c>
      <c r="L2034" t="s">
        <v>95</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2120</v>
      </c>
      <c r="B2035" t="s">
        <v>29</v>
      </c>
      <c r="C2035">
        <v>2</v>
      </c>
      <c r="D2035">
        <v>17.5</v>
      </c>
      <c r="E2035">
        <v>35</v>
      </c>
      <c r="F2035" s="1">
        <v>45732</v>
      </c>
      <c r="G2035" s="1">
        <v>45735</v>
      </c>
      <c r="H2035" t="s">
        <v>12</v>
      </c>
      <c r="I2035" t="s">
        <v>3</v>
      </c>
      <c r="J2035">
        <v>4</v>
      </c>
      <c r="K2035" t="s">
        <v>4</v>
      </c>
      <c r="L2035" t="s">
        <v>100</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2121</v>
      </c>
      <c r="B2036" t="s">
        <v>29</v>
      </c>
      <c r="C2036">
        <v>2</v>
      </c>
      <c r="D2036">
        <v>32.5</v>
      </c>
      <c r="E2036">
        <v>65</v>
      </c>
      <c r="F2036" s="1">
        <v>45732</v>
      </c>
      <c r="G2036" s="1">
        <v>45735</v>
      </c>
      <c r="H2036" t="s">
        <v>12</v>
      </c>
      <c r="I2036" t="s">
        <v>20</v>
      </c>
      <c r="J2036">
        <v>4</v>
      </c>
      <c r="K2036" t="s">
        <v>4</v>
      </c>
      <c r="L2036" t="s">
        <v>100</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2122</v>
      </c>
      <c r="B2037" t="s">
        <v>17</v>
      </c>
      <c r="C2037">
        <v>1</v>
      </c>
      <c r="D2037">
        <v>34.6</v>
      </c>
      <c r="E2037">
        <v>34.6</v>
      </c>
      <c r="F2037" s="1">
        <v>45732</v>
      </c>
      <c r="G2037" s="1">
        <v>45733</v>
      </c>
      <c r="H2037" t="s">
        <v>12</v>
      </c>
      <c r="I2037" t="s">
        <v>55</v>
      </c>
      <c r="J2037">
        <v>4</v>
      </c>
      <c r="K2037" t="s">
        <v>4</v>
      </c>
      <c r="L2037" t="s">
        <v>100</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2123</v>
      </c>
      <c r="B2038" t="s">
        <v>11</v>
      </c>
      <c r="C2038">
        <v>1</v>
      </c>
      <c r="D2038">
        <v>75.900000000000006</v>
      </c>
      <c r="E2038">
        <v>75.900000000000006</v>
      </c>
      <c r="F2038" s="1">
        <v>45732</v>
      </c>
      <c r="G2038" s="1">
        <v>45732</v>
      </c>
      <c r="H2038" t="s">
        <v>8</v>
      </c>
      <c r="I2038" t="s">
        <v>20</v>
      </c>
      <c r="J2038">
        <v>5</v>
      </c>
      <c r="K2038" t="s">
        <v>4</v>
      </c>
      <c r="L2038" t="s">
        <v>100</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2124</v>
      </c>
      <c r="B2039" t="s">
        <v>7</v>
      </c>
      <c r="C2039">
        <v>3</v>
      </c>
      <c r="D2039">
        <v>42.1</v>
      </c>
      <c r="E2039">
        <v>126.30000000000001</v>
      </c>
      <c r="F2039" s="1">
        <v>45732</v>
      </c>
      <c r="G2039" s="1">
        <v>45735</v>
      </c>
      <c r="H2039" t="s">
        <v>8</v>
      </c>
      <c r="I2039" t="s">
        <v>20</v>
      </c>
      <c r="J2039">
        <v>3</v>
      </c>
      <c r="K2039" t="s">
        <v>4</v>
      </c>
      <c r="L2039" t="s">
        <v>100</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2125</v>
      </c>
      <c r="B2040" t="s">
        <v>27</v>
      </c>
      <c r="C2040">
        <v>3</v>
      </c>
      <c r="D2040">
        <v>65.3</v>
      </c>
      <c r="E2040">
        <v>195.89999999999998</v>
      </c>
      <c r="F2040" s="1">
        <v>45732</v>
      </c>
      <c r="G2040" s="1">
        <v>45739</v>
      </c>
      <c r="H2040" t="s">
        <v>8</v>
      </c>
      <c r="I2040" t="s">
        <v>3</v>
      </c>
      <c r="J2040">
        <v>4</v>
      </c>
      <c r="K2040" t="s">
        <v>4</v>
      </c>
      <c r="L2040" t="s">
        <v>9</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2126</v>
      </c>
      <c r="B2041" t="s">
        <v>108</v>
      </c>
      <c r="C2041">
        <v>1</v>
      </c>
      <c r="D2041">
        <v>20.6</v>
      </c>
      <c r="E2041">
        <v>20.6</v>
      </c>
      <c r="F2041" s="1">
        <v>45732</v>
      </c>
      <c r="G2041" s="1">
        <v>45735</v>
      </c>
      <c r="H2041" t="s">
        <v>8</v>
      </c>
      <c r="I2041" t="s">
        <v>36</v>
      </c>
      <c r="J2041">
        <v>4</v>
      </c>
      <c r="K2041" t="s">
        <v>4</v>
      </c>
      <c r="L2041" t="s">
        <v>422</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2127</v>
      </c>
      <c r="B2042" t="s">
        <v>29</v>
      </c>
      <c r="C2042">
        <v>7</v>
      </c>
      <c r="D2042">
        <v>16.5</v>
      </c>
      <c r="E2042">
        <v>115.5</v>
      </c>
      <c r="F2042" s="1">
        <v>45732</v>
      </c>
      <c r="G2042" s="1">
        <v>45733</v>
      </c>
      <c r="H2042" t="s">
        <v>8</v>
      </c>
      <c r="I2042" t="s">
        <v>20</v>
      </c>
      <c r="J2042">
        <v>3</v>
      </c>
      <c r="K2042" t="s">
        <v>4</v>
      </c>
      <c r="L2042" t="s">
        <v>13</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2128</v>
      </c>
      <c r="B2043" t="s">
        <v>113</v>
      </c>
      <c r="C2043">
        <v>10</v>
      </c>
      <c r="D2043">
        <v>36.200000000000003</v>
      </c>
      <c r="E2043">
        <v>362</v>
      </c>
      <c r="F2043" s="1">
        <v>45732</v>
      </c>
      <c r="G2043" s="1">
        <v>45734</v>
      </c>
      <c r="H2043" t="s">
        <v>8</v>
      </c>
      <c r="I2043" t="s">
        <v>3</v>
      </c>
      <c r="J2043">
        <v>5</v>
      </c>
      <c r="K2043" t="s">
        <v>4</v>
      </c>
      <c r="L2043" t="s">
        <v>13</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2129</v>
      </c>
      <c r="B2044" t="s">
        <v>24</v>
      </c>
      <c r="C2044">
        <v>1</v>
      </c>
      <c r="D2044">
        <v>53.2</v>
      </c>
      <c r="E2044">
        <v>53.2</v>
      </c>
      <c r="F2044" s="1">
        <v>45732</v>
      </c>
      <c r="G2044" s="1">
        <v>45733</v>
      </c>
      <c r="H2044" t="s">
        <v>12</v>
      </c>
      <c r="I2044" t="s">
        <v>3</v>
      </c>
      <c r="J2044">
        <v>3</v>
      </c>
      <c r="K2044" t="s">
        <v>4</v>
      </c>
      <c r="L2044" t="s">
        <v>132</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2130</v>
      </c>
      <c r="B2045" t="s">
        <v>11</v>
      </c>
      <c r="C2045">
        <v>14</v>
      </c>
      <c r="D2045">
        <v>176</v>
      </c>
      <c r="E2045">
        <v>2464</v>
      </c>
      <c r="F2045" s="1">
        <v>45732</v>
      </c>
      <c r="G2045" s="1">
        <v>45733</v>
      </c>
      <c r="H2045" t="s">
        <v>12</v>
      </c>
      <c r="I2045" t="s">
        <v>3</v>
      </c>
      <c r="J2045">
        <v>3</v>
      </c>
      <c r="K2045" t="s">
        <v>4</v>
      </c>
      <c r="L2045" t="s">
        <v>18</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2131</v>
      </c>
      <c r="B2046" t="s">
        <v>7</v>
      </c>
      <c r="C2046">
        <v>1</v>
      </c>
      <c r="D2046">
        <v>52.4</v>
      </c>
      <c r="E2046">
        <v>52.4</v>
      </c>
      <c r="F2046" s="1">
        <v>45732</v>
      </c>
      <c r="G2046" s="1">
        <v>45733</v>
      </c>
      <c r="H2046" t="s">
        <v>8</v>
      </c>
      <c r="I2046" t="s">
        <v>20</v>
      </c>
      <c r="J2046">
        <v>4</v>
      </c>
      <c r="K2046" t="s">
        <v>4</v>
      </c>
      <c r="L2046" t="s">
        <v>18</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2132</v>
      </c>
      <c r="B2047" t="s">
        <v>39</v>
      </c>
      <c r="C2047">
        <v>3</v>
      </c>
      <c r="D2047">
        <v>48.2</v>
      </c>
      <c r="E2047">
        <v>144.60000000000002</v>
      </c>
      <c r="F2047" s="1">
        <v>45732</v>
      </c>
      <c r="G2047" s="1">
        <v>45733</v>
      </c>
      <c r="H2047" t="s">
        <v>12</v>
      </c>
      <c r="I2047" t="s">
        <v>20</v>
      </c>
      <c r="J2047">
        <v>5</v>
      </c>
      <c r="K2047" t="s">
        <v>4</v>
      </c>
      <c r="L2047" t="s">
        <v>18</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2133</v>
      </c>
      <c r="B2048" t="s">
        <v>108</v>
      </c>
      <c r="C2048">
        <v>1</v>
      </c>
      <c r="D2048">
        <v>51.6</v>
      </c>
      <c r="E2048">
        <v>51.6</v>
      </c>
      <c r="F2048" s="1">
        <v>45732</v>
      </c>
      <c r="G2048" s="1">
        <v>45736</v>
      </c>
      <c r="H2048" t="s">
        <v>12</v>
      </c>
      <c r="I2048" t="s">
        <v>25</v>
      </c>
      <c r="J2048">
        <v>3</v>
      </c>
      <c r="K2048" t="s">
        <v>4</v>
      </c>
      <c r="L2048" t="s">
        <v>18</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2134</v>
      </c>
      <c r="B2049" t="s">
        <v>1</v>
      </c>
      <c r="C2049">
        <v>4</v>
      </c>
      <c r="D2049">
        <v>33.700000000000003</v>
      </c>
      <c r="E2049">
        <v>134.80000000000001</v>
      </c>
      <c r="F2049" s="1">
        <v>45733</v>
      </c>
      <c r="G2049" s="1">
        <v>45734</v>
      </c>
      <c r="H2049" t="s">
        <v>8</v>
      </c>
      <c r="I2049" t="s">
        <v>3</v>
      </c>
      <c r="J2049">
        <v>4</v>
      </c>
      <c r="K2049" t="s">
        <v>4</v>
      </c>
      <c r="L2049" t="s">
        <v>18</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2135</v>
      </c>
      <c r="B2050" t="s">
        <v>17</v>
      </c>
      <c r="C2050">
        <v>10</v>
      </c>
      <c r="D2050">
        <v>36.299999999999997</v>
      </c>
      <c r="E2050">
        <v>363</v>
      </c>
      <c r="F2050" s="1">
        <v>45733</v>
      </c>
      <c r="G2050" s="1">
        <v>45735</v>
      </c>
      <c r="H2050" t="s">
        <v>12</v>
      </c>
      <c r="I2050" t="s">
        <v>55</v>
      </c>
      <c r="J2050">
        <v>3</v>
      </c>
      <c r="K2050" t="s">
        <v>4</v>
      </c>
      <c r="L2050" t="s">
        <v>18</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2136</v>
      </c>
      <c r="B2051" t="s">
        <v>29</v>
      </c>
      <c r="C2051">
        <v>1</v>
      </c>
      <c r="D2051">
        <v>23.4</v>
      </c>
      <c r="E2051">
        <v>23.4</v>
      </c>
      <c r="F2051" s="1">
        <v>45733</v>
      </c>
      <c r="G2051" s="1">
        <v>45738</v>
      </c>
      <c r="H2051" t="s">
        <v>12</v>
      </c>
      <c r="I2051" t="s">
        <v>20</v>
      </c>
      <c r="J2051">
        <v>5</v>
      </c>
      <c r="K2051" t="s">
        <v>4</v>
      </c>
      <c r="L2051" t="s">
        <v>18</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2137</v>
      </c>
      <c r="B2052" t="s">
        <v>108</v>
      </c>
      <c r="C2052">
        <v>8</v>
      </c>
      <c r="D2052">
        <v>56.6</v>
      </c>
      <c r="E2052">
        <v>452.8</v>
      </c>
      <c r="F2052" s="1">
        <v>45733</v>
      </c>
      <c r="G2052" s="1">
        <v>45735</v>
      </c>
      <c r="H2052" t="s">
        <v>12</v>
      </c>
      <c r="I2052" t="s">
        <v>20</v>
      </c>
      <c r="J2052">
        <v>4</v>
      </c>
      <c r="K2052" t="s">
        <v>4</v>
      </c>
      <c r="L2052" t="s">
        <v>18</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2138</v>
      </c>
      <c r="B2053" t="s">
        <v>108</v>
      </c>
      <c r="C2053">
        <v>2</v>
      </c>
      <c r="D2053">
        <v>26.8</v>
      </c>
      <c r="E2053">
        <v>53.6</v>
      </c>
      <c r="F2053" s="1">
        <v>45733</v>
      </c>
      <c r="G2053" s="1">
        <v>45734</v>
      </c>
      <c r="H2053" t="s">
        <v>8</v>
      </c>
      <c r="I2053" t="s">
        <v>3</v>
      </c>
      <c r="J2053">
        <v>4</v>
      </c>
      <c r="K2053" t="s">
        <v>4</v>
      </c>
      <c r="L2053" t="s">
        <v>34</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2139</v>
      </c>
      <c r="B2054" t="s">
        <v>1</v>
      </c>
      <c r="C2054">
        <v>3</v>
      </c>
      <c r="D2054">
        <v>11.3</v>
      </c>
      <c r="E2054">
        <v>33.900000000000006</v>
      </c>
      <c r="F2054" s="1">
        <v>45733</v>
      </c>
      <c r="G2054" s="1">
        <v>45735</v>
      </c>
      <c r="H2054" t="s">
        <v>8</v>
      </c>
      <c r="I2054" t="s">
        <v>25</v>
      </c>
      <c r="J2054">
        <v>4</v>
      </c>
      <c r="K2054" t="s">
        <v>4</v>
      </c>
      <c r="L2054" t="s">
        <v>173</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2140</v>
      </c>
      <c r="B2055" t="s">
        <v>24</v>
      </c>
      <c r="C2055">
        <v>3</v>
      </c>
      <c r="D2055">
        <v>60.1</v>
      </c>
      <c r="E2055">
        <v>180.3</v>
      </c>
      <c r="F2055" s="1">
        <v>45733</v>
      </c>
      <c r="G2055" s="1">
        <v>45736</v>
      </c>
      <c r="H2055" t="s">
        <v>12</v>
      </c>
      <c r="I2055" t="s">
        <v>3</v>
      </c>
      <c r="J2055">
        <v>4</v>
      </c>
      <c r="K2055" t="s">
        <v>4</v>
      </c>
      <c r="L2055" t="s">
        <v>44</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2141</v>
      </c>
      <c r="B2056" t="s">
        <v>1</v>
      </c>
      <c r="C2056">
        <v>11</v>
      </c>
      <c r="D2056">
        <v>27.7</v>
      </c>
      <c r="E2056">
        <v>304.7</v>
      </c>
      <c r="F2056" s="1">
        <v>45733</v>
      </c>
      <c r="G2056" s="1">
        <v>45738</v>
      </c>
      <c r="H2056" t="s">
        <v>12</v>
      </c>
      <c r="I2056" t="s">
        <v>3</v>
      </c>
      <c r="J2056">
        <v>4</v>
      </c>
      <c r="K2056" t="s">
        <v>4</v>
      </c>
      <c r="L2056" t="s">
        <v>47</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2142</v>
      </c>
      <c r="B2057" t="s">
        <v>108</v>
      </c>
      <c r="C2057">
        <v>1</v>
      </c>
      <c r="D2057">
        <v>71.400000000000006</v>
      </c>
      <c r="E2057">
        <v>71.400000000000006</v>
      </c>
      <c r="F2057" s="1">
        <v>45733</v>
      </c>
      <c r="G2057" s="1">
        <v>45736</v>
      </c>
      <c r="H2057" t="s">
        <v>8</v>
      </c>
      <c r="I2057" t="s">
        <v>3</v>
      </c>
      <c r="J2057">
        <v>5</v>
      </c>
      <c r="K2057" t="s">
        <v>4</v>
      </c>
      <c r="L2057" t="s">
        <v>47</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2143</v>
      </c>
      <c r="B2058" t="s">
        <v>11</v>
      </c>
      <c r="C2058">
        <v>2</v>
      </c>
      <c r="D2058">
        <v>66.7</v>
      </c>
      <c r="E2058">
        <v>133.4</v>
      </c>
      <c r="F2058" s="1">
        <v>45733</v>
      </c>
      <c r="G2058" s="1">
        <v>45734</v>
      </c>
      <c r="H2058" t="s">
        <v>12</v>
      </c>
      <c r="I2058" t="s">
        <v>3</v>
      </c>
      <c r="J2058">
        <v>5</v>
      </c>
      <c r="K2058" t="s">
        <v>4</v>
      </c>
      <c r="L2058" t="s">
        <v>47</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2144</v>
      </c>
      <c r="B2059" t="s">
        <v>61</v>
      </c>
      <c r="C2059">
        <v>5</v>
      </c>
      <c r="D2059">
        <v>39.1</v>
      </c>
      <c r="E2059">
        <v>195.5</v>
      </c>
      <c r="F2059" s="1">
        <v>45733</v>
      </c>
      <c r="G2059" s="1">
        <v>45734</v>
      </c>
      <c r="H2059" t="s">
        <v>12</v>
      </c>
      <c r="I2059" t="s">
        <v>3</v>
      </c>
      <c r="J2059">
        <v>4</v>
      </c>
      <c r="K2059" t="s">
        <v>4</v>
      </c>
      <c r="L2059" t="s">
        <v>47</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2145</v>
      </c>
      <c r="B2060" t="s">
        <v>29</v>
      </c>
      <c r="C2060">
        <v>4</v>
      </c>
      <c r="D2060">
        <v>24.9</v>
      </c>
      <c r="E2060">
        <v>99.6</v>
      </c>
      <c r="F2060" s="1">
        <v>45733</v>
      </c>
      <c r="G2060" s="1">
        <v>45738</v>
      </c>
      <c r="H2060" t="s">
        <v>8</v>
      </c>
      <c r="I2060" t="s">
        <v>20</v>
      </c>
      <c r="J2060">
        <v>5</v>
      </c>
      <c r="K2060" t="s">
        <v>4</v>
      </c>
      <c r="L2060" t="s">
        <v>47</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2146</v>
      </c>
      <c r="B2061" t="s">
        <v>22</v>
      </c>
      <c r="C2061">
        <v>5</v>
      </c>
      <c r="D2061">
        <v>29.2</v>
      </c>
      <c r="E2061">
        <v>146</v>
      </c>
      <c r="F2061" s="1">
        <v>45733</v>
      </c>
      <c r="G2061" s="1">
        <v>45734</v>
      </c>
      <c r="H2061" t="s">
        <v>8</v>
      </c>
      <c r="I2061" t="s">
        <v>3</v>
      </c>
      <c r="J2061">
        <v>5</v>
      </c>
      <c r="K2061" t="s">
        <v>4</v>
      </c>
      <c r="L2061" t="s">
        <v>88</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2147</v>
      </c>
      <c r="B2062" t="s">
        <v>61</v>
      </c>
      <c r="C2062">
        <v>14</v>
      </c>
      <c r="D2062">
        <v>28.3</v>
      </c>
      <c r="E2062">
        <v>396.2</v>
      </c>
      <c r="F2062" s="1">
        <v>45733</v>
      </c>
      <c r="G2062" s="1">
        <v>45735</v>
      </c>
      <c r="H2062" t="s">
        <v>12</v>
      </c>
      <c r="I2062" t="s">
        <v>20</v>
      </c>
      <c r="J2062">
        <v>4</v>
      </c>
      <c r="K2062" t="s">
        <v>4</v>
      </c>
      <c r="L2062" t="s">
        <v>62</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2148</v>
      </c>
      <c r="B2063" t="s">
        <v>31</v>
      </c>
      <c r="C2063">
        <v>3</v>
      </c>
      <c r="D2063">
        <v>37.799999999999997</v>
      </c>
      <c r="E2063">
        <v>113.39999999999999</v>
      </c>
      <c r="F2063" s="1">
        <v>45733</v>
      </c>
      <c r="G2063" s="1">
        <v>45734</v>
      </c>
      <c r="H2063" t="s">
        <v>12</v>
      </c>
      <c r="I2063" t="s">
        <v>3</v>
      </c>
      <c r="J2063">
        <v>3</v>
      </c>
      <c r="K2063" t="s">
        <v>4</v>
      </c>
      <c r="L2063" t="s">
        <v>62</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2149</v>
      </c>
      <c r="B2064" t="s">
        <v>66</v>
      </c>
      <c r="C2064">
        <v>7</v>
      </c>
      <c r="D2064">
        <v>28.1</v>
      </c>
      <c r="E2064">
        <v>196.70000000000002</v>
      </c>
      <c r="F2064" s="1">
        <v>45733</v>
      </c>
      <c r="G2064" s="1">
        <v>45739</v>
      </c>
      <c r="H2064" t="s">
        <v>12</v>
      </c>
      <c r="I2064" t="s">
        <v>25</v>
      </c>
      <c r="J2064">
        <v>4</v>
      </c>
      <c r="K2064" t="s">
        <v>4</v>
      </c>
      <c r="L2064" t="s">
        <v>62</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2150</v>
      </c>
      <c r="B2065" t="s">
        <v>7</v>
      </c>
      <c r="C2065">
        <v>3</v>
      </c>
      <c r="D2065">
        <v>59.7</v>
      </c>
      <c r="E2065">
        <v>179.10000000000002</v>
      </c>
      <c r="F2065" s="1">
        <v>45733</v>
      </c>
      <c r="G2065" s="1">
        <v>45735</v>
      </c>
      <c r="H2065" t="s">
        <v>12</v>
      </c>
      <c r="I2065" t="s">
        <v>25</v>
      </c>
      <c r="J2065">
        <v>4</v>
      </c>
      <c r="K2065" t="s">
        <v>4</v>
      </c>
      <c r="L2065" t="s">
        <v>62</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2151</v>
      </c>
      <c r="B2066" t="s">
        <v>113</v>
      </c>
      <c r="C2066">
        <v>1</v>
      </c>
      <c r="D2066">
        <v>71.900000000000006</v>
      </c>
      <c r="E2066">
        <v>71.900000000000006</v>
      </c>
      <c r="F2066" s="1">
        <v>45733</v>
      </c>
      <c r="G2066" s="1">
        <v>45734</v>
      </c>
      <c r="H2066" t="s">
        <v>8</v>
      </c>
      <c r="I2066" t="s">
        <v>20</v>
      </c>
      <c r="J2066">
        <v>3</v>
      </c>
      <c r="K2066" t="s">
        <v>4</v>
      </c>
      <c r="L2066" t="s">
        <v>62</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2152</v>
      </c>
      <c r="B2067" t="s">
        <v>7</v>
      </c>
      <c r="C2067">
        <v>2</v>
      </c>
      <c r="D2067">
        <v>56.9</v>
      </c>
      <c r="E2067">
        <v>113.8</v>
      </c>
      <c r="F2067" s="1">
        <v>45733</v>
      </c>
      <c r="G2067" s="1">
        <v>45734</v>
      </c>
      <c r="H2067" t="s">
        <v>8</v>
      </c>
      <c r="I2067" t="s">
        <v>25</v>
      </c>
      <c r="J2067">
        <v>4</v>
      </c>
      <c r="K2067" t="s">
        <v>4</v>
      </c>
      <c r="L2067" t="s">
        <v>67</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2153</v>
      </c>
      <c r="B2068" t="s">
        <v>29</v>
      </c>
      <c r="C2068">
        <v>2</v>
      </c>
      <c r="D2068">
        <v>15.8</v>
      </c>
      <c r="E2068">
        <v>31.6</v>
      </c>
      <c r="F2068" s="1">
        <v>45733</v>
      </c>
      <c r="G2068" s="1">
        <v>45736</v>
      </c>
      <c r="H2068" t="s">
        <v>12</v>
      </c>
      <c r="I2068" t="s">
        <v>25</v>
      </c>
      <c r="J2068">
        <v>3</v>
      </c>
      <c r="K2068" t="s">
        <v>4</v>
      </c>
      <c r="L2068" t="s">
        <v>9</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2154</v>
      </c>
      <c r="B2069" t="s">
        <v>52</v>
      </c>
      <c r="C2069">
        <v>4</v>
      </c>
      <c r="D2069">
        <v>61.7</v>
      </c>
      <c r="E2069">
        <v>246.8</v>
      </c>
      <c r="F2069" s="1">
        <v>45733</v>
      </c>
      <c r="G2069" s="1">
        <v>45735</v>
      </c>
      <c r="H2069" t="s">
        <v>12</v>
      </c>
      <c r="I2069" t="s">
        <v>25</v>
      </c>
      <c r="J2069">
        <v>4</v>
      </c>
      <c r="K2069" t="s">
        <v>4</v>
      </c>
      <c r="L2069" t="s">
        <v>132</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2155</v>
      </c>
      <c r="B2070" t="s">
        <v>11</v>
      </c>
      <c r="C2070">
        <v>10</v>
      </c>
      <c r="D2070">
        <v>105.2</v>
      </c>
      <c r="E2070">
        <v>1052</v>
      </c>
      <c r="F2070" s="1">
        <v>45733</v>
      </c>
      <c r="G2070" s="1">
        <v>45735</v>
      </c>
      <c r="H2070" t="s">
        <v>8</v>
      </c>
      <c r="I2070" t="s">
        <v>20</v>
      </c>
      <c r="J2070">
        <v>2</v>
      </c>
      <c r="K2070" t="s">
        <v>4</v>
      </c>
      <c r="L2070" t="s">
        <v>18</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2156</v>
      </c>
      <c r="B2071" t="s">
        <v>1</v>
      </c>
      <c r="C2071">
        <v>2</v>
      </c>
      <c r="D2071">
        <v>17</v>
      </c>
      <c r="E2071">
        <v>34</v>
      </c>
      <c r="F2071" s="1">
        <v>45733</v>
      </c>
      <c r="G2071" s="1">
        <v>45735</v>
      </c>
      <c r="H2071" t="s">
        <v>12</v>
      </c>
      <c r="I2071" t="s">
        <v>25</v>
      </c>
      <c r="J2071">
        <v>4</v>
      </c>
      <c r="K2071" t="s">
        <v>4</v>
      </c>
      <c r="L2071" t="s">
        <v>18</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2157</v>
      </c>
      <c r="B2072" t="s">
        <v>24</v>
      </c>
      <c r="C2072">
        <v>3</v>
      </c>
      <c r="D2072">
        <v>84.1</v>
      </c>
      <c r="E2072">
        <v>252.29999999999998</v>
      </c>
      <c r="F2072" s="1">
        <v>45733</v>
      </c>
      <c r="G2072" s="1">
        <v>45734</v>
      </c>
      <c r="H2072" t="s">
        <v>8</v>
      </c>
      <c r="I2072" t="s">
        <v>25</v>
      </c>
      <c r="J2072">
        <v>4</v>
      </c>
      <c r="K2072" t="s">
        <v>4</v>
      </c>
      <c r="L2072" t="s">
        <v>18</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2158</v>
      </c>
      <c r="B2073" t="s">
        <v>15</v>
      </c>
      <c r="C2073">
        <v>4</v>
      </c>
      <c r="D2073">
        <v>59.5</v>
      </c>
      <c r="E2073">
        <v>238</v>
      </c>
      <c r="F2073" s="1">
        <v>45733</v>
      </c>
      <c r="G2073" s="1">
        <v>45738</v>
      </c>
      <c r="H2073" t="s">
        <v>8</v>
      </c>
      <c r="I2073" t="s">
        <v>3</v>
      </c>
      <c r="J2073">
        <v>5</v>
      </c>
      <c r="K2073" t="s">
        <v>4</v>
      </c>
      <c r="L2073" t="s">
        <v>18</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2159</v>
      </c>
      <c r="B2074" t="s">
        <v>29</v>
      </c>
      <c r="C2074">
        <v>2</v>
      </c>
      <c r="D2074">
        <v>57.5</v>
      </c>
      <c r="E2074">
        <v>115</v>
      </c>
      <c r="F2074" s="1">
        <v>45733</v>
      </c>
      <c r="G2074" s="1">
        <v>45735</v>
      </c>
      <c r="H2074" t="s">
        <v>8</v>
      </c>
      <c r="I2074" t="s">
        <v>20</v>
      </c>
      <c r="J2074">
        <v>5</v>
      </c>
      <c r="K2074" t="s">
        <v>4</v>
      </c>
      <c r="L2074" t="s">
        <v>18</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2160</v>
      </c>
      <c r="B2075" t="s">
        <v>29</v>
      </c>
      <c r="C2075">
        <v>1</v>
      </c>
      <c r="D2075">
        <v>34.299999999999997</v>
      </c>
      <c r="E2075">
        <v>34.299999999999997</v>
      </c>
      <c r="F2075" s="1">
        <v>45733</v>
      </c>
      <c r="G2075" s="1">
        <v>45734</v>
      </c>
      <c r="H2075" t="s">
        <v>12</v>
      </c>
      <c r="I2075" t="s">
        <v>55</v>
      </c>
      <c r="J2075">
        <v>5</v>
      </c>
      <c r="K2075" t="s">
        <v>4</v>
      </c>
      <c r="L2075" t="s">
        <v>18</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2161</v>
      </c>
      <c r="B2076" t="s">
        <v>22</v>
      </c>
      <c r="C2076">
        <v>2</v>
      </c>
      <c r="D2076">
        <v>27.8</v>
      </c>
      <c r="E2076">
        <v>55.6</v>
      </c>
      <c r="F2076" s="1">
        <v>45734</v>
      </c>
      <c r="G2076" s="1">
        <v>45736</v>
      </c>
      <c r="H2076" t="s">
        <v>12</v>
      </c>
      <c r="I2076" t="s">
        <v>3</v>
      </c>
      <c r="J2076">
        <v>4</v>
      </c>
      <c r="K2076" t="s">
        <v>4</v>
      </c>
      <c r="L2076" t="s">
        <v>18</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2162</v>
      </c>
      <c r="B2077" t="s">
        <v>54</v>
      </c>
      <c r="C2077">
        <v>2</v>
      </c>
      <c r="D2077">
        <v>85</v>
      </c>
      <c r="E2077">
        <v>170</v>
      </c>
      <c r="F2077" s="1">
        <v>45734</v>
      </c>
      <c r="G2077" s="1">
        <v>45734</v>
      </c>
      <c r="H2077" t="s">
        <v>8</v>
      </c>
      <c r="I2077" t="s">
        <v>25</v>
      </c>
      <c r="J2077">
        <v>5</v>
      </c>
      <c r="K2077" t="s">
        <v>4</v>
      </c>
      <c r="L2077" t="s">
        <v>18</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2163</v>
      </c>
      <c r="B2078" t="s">
        <v>24</v>
      </c>
      <c r="C2078">
        <v>2</v>
      </c>
      <c r="D2078">
        <v>95</v>
      </c>
      <c r="E2078">
        <v>190</v>
      </c>
      <c r="F2078" s="1">
        <v>45734</v>
      </c>
      <c r="G2078" s="1">
        <v>45736</v>
      </c>
      <c r="H2078" t="s">
        <v>12</v>
      </c>
      <c r="I2078" t="s">
        <v>3</v>
      </c>
      <c r="J2078">
        <v>4</v>
      </c>
      <c r="K2078" t="s">
        <v>4</v>
      </c>
      <c r="L2078" t="s">
        <v>18</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2164</v>
      </c>
      <c r="B2079" t="s">
        <v>113</v>
      </c>
      <c r="C2079">
        <v>2</v>
      </c>
      <c r="D2079">
        <v>32</v>
      </c>
      <c r="E2079">
        <v>64</v>
      </c>
      <c r="F2079" s="1">
        <v>45734</v>
      </c>
      <c r="G2079" s="1">
        <v>45736</v>
      </c>
      <c r="H2079" t="s">
        <v>8</v>
      </c>
      <c r="I2079" t="s">
        <v>3</v>
      </c>
      <c r="J2079">
        <v>3</v>
      </c>
      <c r="K2079" t="s">
        <v>4</v>
      </c>
      <c r="L2079" t="s">
        <v>18</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2165</v>
      </c>
      <c r="B2080" t="s">
        <v>11</v>
      </c>
      <c r="C2080">
        <v>2</v>
      </c>
      <c r="D2080">
        <v>65.2</v>
      </c>
      <c r="E2080">
        <v>130.4</v>
      </c>
      <c r="F2080" s="1">
        <v>45734</v>
      </c>
      <c r="G2080" s="1">
        <v>45735</v>
      </c>
      <c r="H2080" t="s">
        <v>12</v>
      </c>
      <c r="I2080" t="s">
        <v>20</v>
      </c>
      <c r="J2080">
        <v>4</v>
      </c>
      <c r="K2080" t="s">
        <v>4</v>
      </c>
      <c r="L2080" t="s">
        <v>18</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2166</v>
      </c>
      <c r="B2081" t="s">
        <v>120</v>
      </c>
      <c r="C2081">
        <v>4</v>
      </c>
      <c r="D2081">
        <v>22</v>
      </c>
      <c r="E2081">
        <v>88</v>
      </c>
      <c r="F2081" s="1">
        <v>45734</v>
      </c>
      <c r="G2081" s="1">
        <v>45735</v>
      </c>
      <c r="H2081" t="s">
        <v>8</v>
      </c>
      <c r="I2081" t="s">
        <v>20</v>
      </c>
      <c r="J2081">
        <v>5</v>
      </c>
      <c r="K2081" t="s">
        <v>4</v>
      </c>
      <c r="L2081" t="s">
        <v>18</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2167</v>
      </c>
      <c r="B2082" t="s">
        <v>108</v>
      </c>
      <c r="C2082">
        <v>3</v>
      </c>
      <c r="D2082">
        <v>69.400000000000006</v>
      </c>
      <c r="E2082">
        <v>208.20000000000002</v>
      </c>
      <c r="F2082" s="1">
        <v>45734</v>
      </c>
      <c r="G2082" s="1">
        <v>45737</v>
      </c>
      <c r="H2082" t="s">
        <v>8</v>
      </c>
      <c r="I2082" t="s">
        <v>20</v>
      </c>
      <c r="J2082">
        <v>5</v>
      </c>
      <c r="K2082" t="s">
        <v>4</v>
      </c>
      <c r="L2082" t="s">
        <v>18</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2168</v>
      </c>
      <c r="B2083" t="s">
        <v>39</v>
      </c>
      <c r="C2083">
        <v>6</v>
      </c>
      <c r="D2083">
        <v>31.5</v>
      </c>
      <c r="E2083">
        <v>189</v>
      </c>
      <c r="F2083" s="1">
        <v>45734</v>
      </c>
      <c r="G2083" s="1">
        <v>45736</v>
      </c>
      <c r="H2083" t="s">
        <v>12</v>
      </c>
      <c r="I2083" t="s">
        <v>3</v>
      </c>
      <c r="J2083">
        <v>5</v>
      </c>
      <c r="K2083" t="s">
        <v>4</v>
      </c>
      <c r="L2083" t="s">
        <v>18</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2169</v>
      </c>
      <c r="B2084" t="s">
        <v>24</v>
      </c>
      <c r="C2084">
        <v>1</v>
      </c>
      <c r="D2084">
        <v>45.8</v>
      </c>
      <c r="E2084">
        <v>45.8</v>
      </c>
      <c r="F2084" s="1">
        <v>45734</v>
      </c>
      <c r="G2084" s="1">
        <v>45738</v>
      </c>
      <c r="H2084" t="s">
        <v>74</v>
      </c>
      <c r="I2084" t="s">
        <v>3</v>
      </c>
      <c r="J2084">
        <v>4</v>
      </c>
      <c r="K2084" t="s">
        <v>4</v>
      </c>
      <c r="L2084" t="s">
        <v>18</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2170</v>
      </c>
      <c r="B2085" t="s">
        <v>156</v>
      </c>
      <c r="C2085">
        <v>4</v>
      </c>
      <c r="D2085">
        <v>12.8</v>
      </c>
      <c r="E2085">
        <v>51.2</v>
      </c>
      <c r="F2085" s="1">
        <v>45734</v>
      </c>
      <c r="G2085" s="1">
        <v>45741</v>
      </c>
      <c r="H2085" t="s">
        <v>12</v>
      </c>
      <c r="I2085" t="s">
        <v>20</v>
      </c>
      <c r="J2085">
        <v>3</v>
      </c>
      <c r="K2085" t="s">
        <v>4</v>
      </c>
      <c r="L2085" t="s">
        <v>37</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2171</v>
      </c>
      <c r="B2086" t="s">
        <v>22</v>
      </c>
      <c r="C2086">
        <v>3</v>
      </c>
      <c r="D2086">
        <v>115.3</v>
      </c>
      <c r="E2086">
        <v>345.9</v>
      </c>
      <c r="F2086" s="1">
        <v>45734</v>
      </c>
      <c r="G2086" s="1">
        <v>45735</v>
      </c>
      <c r="H2086" t="s">
        <v>12</v>
      </c>
      <c r="I2086" t="s">
        <v>25</v>
      </c>
      <c r="J2086">
        <v>5</v>
      </c>
      <c r="K2086" t="s">
        <v>4</v>
      </c>
      <c r="L2086" t="s">
        <v>40</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2172</v>
      </c>
      <c r="B2087" t="s">
        <v>22</v>
      </c>
      <c r="C2087">
        <v>2</v>
      </c>
      <c r="D2087">
        <v>85</v>
      </c>
      <c r="E2087">
        <v>170</v>
      </c>
      <c r="F2087" s="1">
        <v>45734</v>
      </c>
      <c r="G2087" s="1">
        <v>45736</v>
      </c>
      <c r="H2087" t="s">
        <v>12</v>
      </c>
      <c r="I2087" t="s">
        <v>20</v>
      </c>
      <c r="J2087">
        <v>4</v>
      </c>
      <c r="K2087" t="s">
        <v>4</v>
      </c>
      <c r="L2087" t="s">
        <v>44</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2173</v>
      </c>
      <c r="B2088" t="s">
        <v>29</v>
      </c>
      <c r="C2088">
        <v>3</v>
      </c>
      <c r="D2088">
        <v>56.6</v>
      </c>
      <c r="E2088">
        <v>169.8</v>
      </c>
      <c r="F2088" s="1">
        <v>45734</v>
      </c>
      <c r="G2088" s="1">
        <v>45735</v>
      </c>
      <c r="H2088" t="s">
        <v>12</v>
      </c>
      <c r="I2088" t="s">
        <v>20</v>
      </c>
      <c r="J2088">
        <v>5</v>
      </c>
      <c r="K2088" t="s">
        <v>4</v>
      </c>
      <c r="L2088" t="s">
        <v>44</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2174</v>
      </c>
      <c r="B2089" t="s">
        <v>108</v>
      </c>
      <c r="C2089">
        <v>27</v>
      </c>
      <c r="D2089">
        <v>46.3</v>
      </c>
      <c r="E2089">
        <v>1250.0999999999999</v>
      </c>
      <c r="F2089" s="1">
        <v>45734</v>
      </c>
      <c r="G2089" s="1">
        <v>45737</v>
      </c>
      <c r="H2089" t="s">
        <v>8</v>
      </c>
      <c r="I2089" t="s">
        <v>3</v>
      </c>
      <c r="J2089">
        <v>4</v>
      </c>
      <c r="K2089" t="s">
        <v>4</v>
      </c>
      <c r="L2089" t="s">
        <v>44</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2175</v>
      </c>
      <c r="B2090" t="s">
        <v>66</v>
      </c>
      <c r="C2090">
        <v>4</v>
      </c>
      <c r="D2090">
        <v>23</v>
      </c>
      <c r="E2090">
        <v>92</v>
      </c>
      <c r="F2090" s="1">
        <v>45734</v>
      </c>
      <c r="G2090" s="1">
        <v>45738</v>
      </c>
      <c r="H2090" t="s">
        <v>8</v>
      </c>
      <c r="I2090" t="s">
        <v>36</v>
      </c>
      <c r="J2090">
        <v>5</v>
      </c>
      <c r="K2090" t="s">
        <v>4</v>
      </c>
      <c r="L2090" t="s">
        <v>44</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2176</v>
      </c>
      <c r="B2091" t="s">
        <v>29</v>
      </c>
      <c r="C2091">
        <v>6</v>
      </c>
      <c r="D2091">
        <v>42.1</v>
      </c>
      <c r="E2091">
        <v>252.60000000000002</v>
      </c>
      <c r="F2091" s="1">
        <v>45734</v>
      </c>
      <c r="G2091" s="1">
        <v>45736</v>
      </c>
      <c r="H2091" t="s">
        <v>8</v>
      </c>
      <c r="I2091" t="s">
        <v>55</v>
      </c>
      <c r="J2091">
        <v>4</v>
      </c>
      <c r="K2091" t="s">
        <v>4</v>
      </c>
      <c r="L2091" t="s">
        <v>47</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2177</v>
      </c>
      <c r="B2092" t="s">
        <v>22</v>
      </c>
      <c r="C2092">
        <v>7</v>
      </c>
      <c r="D2092">
        <v>57.4</v>
      </c>
      <c r="E2092">
        <v>401.8</v>
      </c>
      <c r="F2092" s="1">
        <v>45734</v>
      </c>
      <c r="G2092" s="1">
        <v>45738</v>
      </c>
      <c r="H2092" t="s">
        <v>12</v>
      </c>
      <c r="I2092" t="s">
        <v>20</v>
      </c>
      <c r="J2092">
        <v>2</v>
      </c>
      <c r="K2092" t="s">
        <v>4</v>
      </c>
      <c r="L2092" t="s">
        <v>47</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2178</v>
      </c>
      <c r="B2093" t="s">
        <v>1</v>
      </c>
      <c r="C2093">
        <v>6</v>
      </c>
      <c r="D2093">
        <v>13.2</v>
      </c>
      <c r="E2093">
        <v>79.199999999999989</v>
      </c>
      <c r="F2093" s="1">
        <v>45734</v>
      </c>
      <c r="G2093" s="1">
        <v>45738</v>
      </c>
      <c r="H2093" t="s">
        <v>8</v>
      </c>
      <c r="I2093" t="s">
        <v>25</v>
      </c>
      <c r="J2093">
        <v>4</v>
      </c>
      <c r="K2093" t="s">
        <v>4</v>
      </c>
      <c r="L2093" t="s">
        <v>47</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2179</v>
      </c>
      <c r="B2094" t="s">
        <v>24</v>
      </c>
      <c r="C2094">
        <v>3</v>
      </c>
      <c r="D2094">
        <v>52.3</v>
      </c>
      <c r="E2094">
        <v>156.89999999999998</v>
      </c>
      <c r="F2094" s="1">
        <v>45734</v>
      </c>
      <c r="G2094" s="1">
        <v>45735</v>
      </c>
      <c r="H2094" t="s">
        <v>8</v>
      </c>
      <c r="I2094" t="s">
        <v>20</v>
      </c>
      <c r="J2094">
        <v>4</v>
      </c>
      <c r="K2094" t="s">
        <v>4</v>
      </c>
      <c r="L2094" t="s">
        <v>47</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2180</v>
      </c>
      <c r="B2095" t="s">
        <v>29</v>
      </c>
      <c r="C2095">
        <v>2</v>
      </c>
      <c r="D2095">
        <v>15.7</v>
      </c>
      <c r="E2095">
        <v>31.4</v>
      </c>
      <c r="F2095" s="1">
        <v>45734</v>
      </c>
      <c r="G2095" s="1">
        <v>45737</v>
      </c>
      <c r="H2095" t="s">
        <v>8</v>
      </c>
      <c r="I2095" t="s">
        <v>20</v>
      </c>
      <c r="J2095">
        <v>5</v>
      </c>
      <c r="K2095" t="s">
        <v>4</v>
      </c>
      <c r="L2095" t="s">
        <v>47</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2181</v>
      </c>
      <c r="B2096" t="s">
        <v>27</v>
      </c>
      <c r="C2096">
        <v>3</v>
      </c>
      <c r="D2096">
        <v>35</v>
      </c>
      <c r="E2096">
        <v>105</v>
      </c>
      <c r="F2096" s="1">
        <v>45734</v>
      </c>
      <c r="G2096" s="1">
        <v>45737</v>
      </c>
      <c r="H2096" t="s">
        <v>12</v>
      </c>
      <c r="I2096" t="s">
        <v>20</v>
      </c>
      <c r="J2096">
        <v>5</v>
      </c>
      <c r="K2096" t="s">
        <v>4</v>
      </c>
      <c r="L2096" t="s">
        <v>57</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2182</v>
      </c>
      <c r="B2097" t="s">
        <v>17</v>
      </c>
      <c r="C2097">
        <v>3</v>
      </c>
      <c r="D2097">
        <v>26.6</v>
      </c>
      <c r="E2097">
        <v>79.800000000000011</v>
      </c>
      <c r="F2097" s="1">
        <v>45734</v>
      </c>
      <c r="G2097" s="1">
        <v>45734</v>
      </c>
      <c r="H2097" t="s">
        <v>8</v>
      </c>
      <c r="I2097" t="s">
        <v>20</v>
      </c>
      <c r="J2097">
        <v>5</v>
      </c>
      <c r="K2097" t="s">
        <v>4</v>
      </c>
      <c r="L2097" t="s">
        <v>62</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2183</v>
      </c>
      <c r="B2098" t="s">
        <v>17</v>
      </c>
      <c r="C2098">
        <v>8</v>
      </c>
      <c r="D2098">
        <v>47.9</v>
      </c>
      <c r="E2098">
        <v>383.2</v>
      </c>
      <c r="F2098" s="1">
        <v>45735</v>
      </c>
      <c r="G2098" s="1">
        <v>45736</v>
      </c>
      <c r="H2098" t="s">
        <v>12</v>
      </c>
      <c r="I2098" t="s">
        <v>36</v>
      </c>
      <c r="J2098">
        <v>5</v>
      </c>
      <c r="K2098" t="s">
        <v>4</v>
      </c>
      <c r="L2098" t="s">
        <v>98</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2184</v>
      </c>
      <c r="B2099" t="s">
        <v>22</v>
      </c>
      <c r="C2099">
        <v>1</v>
      </c>
      <c r="D2099">
        <v>80.099999999999994</v>
      </c>
      <c r="E2099">
        <v>80.099999999999994</v>
      </c>
      <c r="F2099" s="1">
        <v>45735</v>
      </c>
      <c r="G2099" s="1">
        <v>45736</v>
      </c>
      <c r="H2099" t="s">
        <v>8</v>
      </c>
      <c r="I2099" t="s">
        <v>25</v>
      </c>
      <c r="J2099">
        <v>4</v>
      </c>
      <c r="K2099" t="s">
        <v>4</v>
      </c>
      <c r="L2099" t="s">
        <v>100</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2185</v>
      </c>
      <c r="B2100" t="s">
        <v>24</v>
      </c>
      <c r="C2100">
        <v>5</v>
      </c>
      <c r="D2100">
        <v>50.4</v>
      </c>
      <c r="E2100">
        <v>252</v>
      </c>
      <c r="F2100" s="1">
        <v>45735</v>
      </c>
      <c r="G2100" s="1">
        <v>45736</v>
      </c>
      <c r="H2100" t="s">
        <v>8</v>
      </c>
      <c r="I2100" t="s">
        <v>20</v>
      </c>
      <c r="J2100">
        <v>5</v>
      </c>
      <c r="K2100" t="s">
        <v>4</v>
      </c>
      <c r="L2100" t="s">
        <v>100</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2186</v>
      </c>
      <c r="B2101" t="s">
        <v>39</v>
      </c>
      <c r="C2101">
        <v>7</v>
      </c>
      <c r="D2101">
        <v>43.3</v>
      </c>
      <c r="E2101">
        <v>303.09999999999997</v>
      </c>
      <c r="F2101" s="1">
        <v>45735</v>
      </c>
      <c r="G2101" s="1">
        <v>45736</v>
      </c>
      <c r="H2101" t="s">
        <v>8</v>
      </c>
      <c r="I2101" t="s">
        <v>25</v>
      </c>
      <c r="J2101">
        <v>4</v>
      </c>
      <c r="K2101" t="s">
        <v>4</v>
      </c>
      <c r="L2101" t="s">
        <v>100</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2187</v>
      </c>
      <c r="B2102" t="s">
        <v>39</v>
      </c>
      <c r="C2102">
        <v>4</v>
      </c>
      <c r="D2102">
        <v>57.5</v>
      </c>
      <c r="E2102">
        <v>230</v>
      </c>
      <c r="F2102" s="1">
        <v>45735</v>
      </c>
      <c r="G2102" s="1">
        <v>45736</v>
      </c>
      <c r="H2102" t="s">
        <v>12</v>
      </c>
      <c r="I2102" t="s">
        <v>20</v>
      </c>
      <c r="J2102">
        <v>5</v>
      </c>
      <c r="K2102" t="s">
        <v>4</v>
      </c>
      <c r="L2102" t="s">
        <v>9</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2188</v>
      </c>
      <c r="B2103" t="s">
        <v>31</v>
      </c>
      <c r="C2103">
        <v>13</v>
      </c>
      <c r="D2103">
        <v>24.8</v>
      </c>
      <c r="E2103">
        <v>322.40000000000003</v>
      </c>
      <c r="F2103" s="1">
        <v>45735</v>
      </c>
      <c r="G2103" s="1">
        <v>45736</v>
      </c>
      <c r="H2103" t="s">
        <v>8</v>
      </c>
      <c r="I2103" t="s">
        <v>3</v>
      </c>
      <c r="J2103">
        <v>4</v>
      </c>
      <c r="K2103" t="s">
        <v>4</v>
      </c>
      <c r="L2103" t="s">
        <v>2189</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2190</v>
      </c>
      <c r="B2104" t="s">
        <v>11</v>
      </c>
      <c r="C2104">
        <v>9</v>
      </c>
      <c r="D2104">
        <v>85.7</v>
      </c>
      <c r="E2104">
        <v>771.30000000000007</v>
      </c>
      <c r="F2104" s="1">
        <v>45735</v>
      </c>
      <c r="G2104" s="1">
        <v>45736</v>
      </c>
      <c r="H2104" t="s">
        <v>12</v>
      </c>
      <c r="I2104" t="s">
        <v>3</v>
      </c>
      <c r="J2104">
        <v>4</v>
      </c>
      <c r="K2104" t="s">
        <v>4</v>
      </c>
      <c r="L2104" t="s">
        <v>422</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2191</v>
      </c>
      <c r="B2105" t="s">
        <v>27</v>
      </c>
      <c r="C2105">
        <v>1</v>
      </c>
      <c r="D2105">
        <v>47.1</v>
      </c>
      <c r="E2105">
        <v>47.1</v>
      </c>
      <c r="F2105" s="1">
        <v>45735</v>
      </c>
      <c r="G2105" s="1">
        <v>45737</v>
      </c>
      <c r="H2105" t="s">
        <v>12</v>
      </c>
      <c r="I2105" t="s">
        <v>3</v>
      </c>
      <c r="J2105">
        <v>4</v>
      </c>
      <c r="K2105" t="s">
        <v>4</v>
      </c>
      <c r="L2105" t="s">
        <v>13</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2192</v>
      </c>
      <c r="B2106" t="s">
        <v>22</v>
      </c>
      <c r="C2106">
        <v>10</v>
      </c>
      <c r="D2106">
        <v>83.2</v>
      </c>
      <c r="E2106">
        <v>832</v>
      </c>
      <c r="F2106" s="1">
        <v>45735</v>
      </c>
      <c r="G2106" s="1">
        <v>45739</v>
      </c>
      <c r="H2106" t="s">
        <v>12</v>
      </c>
      <c r="I2106" t="s">
        <v>3</v>
      </c>
      <c r="J2106">
        <v>4</v>
      </c>
      <c r="K2106" t="s">
        <v>4</v>
      </c>
      <c r="L2106" t="s">
        <v>316</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2193</v>
      </c>
      <c r="B2107" t="s">
        <v>11</v>
      </c>
      <c r="C2107">
        <v>3</v>
      </c>
      <c r="D2107">
        <v>157</v>
      </c>
      <c r="E2107">
        <v>471</v>
      </c>
      <c r="F2107" s="1">
        <v>45735</v>
      </c>
      <c r="G2107" s="1">
        <v>45737</v>
      </c>
      <c r="H2107" t="s">
        <v>12</v>
      </c>
      <c r="I2107" t="s">
        <v>3</v>
      </c>
      <c r="J2107">
        <v>5</v>
      </c>
      <c r="K2107" t="s">
        <v>4</v>
      </c>
      <c r="L2107" t="s">
        <v>132</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2194</v>
      </c>
      <c r="B2108" t="s">
        <v>113</v>
      </c>
      <c r="C2108">
        <v>4</v>
      </c>
      <c r="D2108">
        <v>33.700000000000003</v>
      </c>
      <c r="E2108">
        <v>134.80000000000001</v>
      </c>
      <c r="F2108" s="1">
        <v>45735</v>
      </c>
      <c r="G2108" s="1">
        <v>45736</v>
      </c>
      <c r="H2108" t="s">
        <v>8</v>
      </c>
      <c r="I2108" t="s">
        <v>25</v>
      </c>
      <c r="J2108">
        <v>5</v>
      </c>
      <c r="K2108" t="s">
        <v>4</v>
      </c>
      <c r="L2108" t="s">
        <v>132</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2195</v>
      </c>
      <c r="B2109" t="s">
        <v>11</v>
      </c>
      <c r="C2109">
        <v>3</v>
      </c>
      <c r="D2109">
        <v>60.8</v>
      </c>
      <c r="E2109">
        <v>182.39999999999998</v>
      </c>
      <c r="F2109" s="1">
        <v>45735</v>
      </c>
      <c r="G2109" s="1">
        <v>45739</v>
      </c>
      <c r="H2109" t="s">
        <v>12</v>
      </c>
      <c r="I2109" t="s">
        <v>20</v>
      </c>
      <c r="J2109">
        <v>3</v>
      </c>
      <c r="K2109" t="s">
        <v>4</v>
      </c>
      <c r="L2109" t="s">
        <v>18</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2196</v>
      </c>
      <c r="B2110" t="s">
        <v>27</v>
      </c>
      <c r="C2110">
        <v>1</v>
      </c>
      <c r="D2110">
        <v>57.6</v>
      </c>
      <c r="E2110">
        <v>57.6</v>
      </c>
      <c r="F2110" s="1">
        <v>45735</v>
      </c>
      <c r="G2110" s="1">
        <v>45736</v>
      </c>
      <c r="H2110" t="s">
        <v>8</v>
      </c>
      <c r="I2110" t="s">
        <v>20</v>
      </c>
      <c r="J2110">
        <v>2</v>
      </c>
      <c r="K2110" t="s">
        <v>4</v>
      </c>
      <c r="L2110" t="s">
        <v>18</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2197</v>
      </c>
      <c r="B2111" t="s">
        <v>39</v>
      </c>
      <c r="C2111">
        <v>1</v>
      </c>
      <c r="D2111">
        <v>32</v>
      </c>
      <c r="E2111">
        <v>32</v>
      </c>
      <c r="F2111" s="1">
        <v>45735</v>
      </c>
      <c r="G2111" s="1">
        <v>45737</v>
      </c>
      <c r="H2111" t="s">
        <v>8</v>
      </c>
      <c r="I2111" t="s">
        <v>3</v>
      </c>
      <c r="J2111">
        <v>4</v>
      </c>
      <c r="K2111" t="s">
        <v>4</v>
      </c>
      <c r="L2111" t="s">
        <v>18</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2198</v>
      </c>
      <c r="B2112" t="s">
        <v>39</v>
      </c>
      <c r="C2112">
        <v>4</v>
      </c>
      <c r="D2112">
        <v>23.5</v>
      </c>
      <c r="E2112">
        <v>94</v>
      </c>
      <c r="F2112" s="1">
        <v>45735</v>
      </c>
      <c r="G2112" s="1">
        <v>45736</v>
      </c>
      <c r="H2112" t="s">
        <v>12</v>
      </c>
      <c r="I2112" t="s">
        <v>3</v>
      </c>
      <c r="J2112">
        <v>5</v>
      </c>
      <c r="K2112" t="s">
        <v>4</v>
      </c>
      <c r="L2112" t="s">
        <v>18</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2199</v>
      </c>
      <c r="B2113" t="s">
        <v>54</v>
      </c>
      <c r="C2113">
        <v>3</v>
      </c>
      <c r="D2113">
        <v>44.8</v>
      </c>
      <c r="E2113">
        <v>134.39999999999998</v>
      </c>
      <c r="F2113" s="1">
        <v>45735</v>
      </c>
      <c r="G2113" s="1">
        <v>45736</v>
      </c>
      <c r="H2113" t="s">
        <v>74</v>
      </c>
      <c r="I2113" t="s">
        <v>55</v>
      </c>
      <c r="J2113">
        <v>4</v>
      </c>
      <c r="K2113" t="s">
        <v>4</v>
      </c>
      <c r="L2113" t="s">
        <v>18</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2200</v>
      </c>
      <c r="B2114" t="s">
        <v>1</v>
      </c>
      <c r="C2114">
        <v>8</v>
      </c>
      <c r="D2114">
        <v>11.7</v>
      </c>
      <c r="E2114">
        <v>93.6</v>
      </c>
      <c r="F2114" s="1">
        <v>45735</v>
      </c>
      <c r="G2114" s="1">
        <v>45736</v>
      </c>
      <c r="H2114" t="s">
        <v>8</v>
      </c>
      <c r="I2114" t="s">
        <v>25</v>
      </c>
      <c r="J2114">
        <v>5</v>
      </c>
      <c r="K2114" t="s">
        <v>4</v>
      </c>
      <c r="L2114" t="s">
        <v>18</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2201</v>
      </c>
      <c r="B2115" t="s">
        <v>27</v>
      </c>
      <c r="C2115">
        <v>2</v>
      </c>
      <c r="D2115">
        <v>38.799999999999997</v>
      </c>
      <c r="E2115">
        <v>77.599999999999994</v>
      </c>
      <c r="F2115" s="1">
        <v>45735</v>
      </c>
      <c r="G2115" s="1">
        <v>45738</v>
      </c>
      <c r="H2115" t="s">
        <v>12</v>
      </c>
      <c r="I2115" t="s">
        <v>25</v>
      </c>
      <c r="J2115">
        <v>4</v>
      </c>
      <c r="K2115" t="s">
        <v>4</v>
      </c>
      <c r="L2115" t="s">
        <v>18</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2202</v>
      </c>
      <c r="B2116" t="s">
        <v>22</v>
      </c>
      <c r="C2116">
        <v>14</v>
      </c>
      <c r="D2116">
        <v>86.9</v>
      </c>
      <c r="E2116">
        <v>1216.6000000000001</v>
      </c>
      <c r="F2116" s="1">
        <v>45735</v>
      </c>
      <c r="G2116" s="1">
        <v>45740</v>
      </c>
      <c r="H2116" t="s">
        <v>12</v>
      </c>
      <c r="I2116" t="s">
        <v>20</v>
      </c>
      <c r="J2116">
        <v>4</v>
      </c>
      <c r="K2116" t="s">
        <v>4</v>
      </c>
      <c r="L2116" t="s">
        <v>18</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2203</v>
      </c>
      <c r="B2117" t="s">
        <v>29</v>
      </c>
      <c r="C2117">
        <v>1</v>
      </c>
      <c r="D2117">
        <v>18.3</v>
      </c>
      <c r="E2117">
        <v>18.3</v>
      </c>
      <c r="F2117" s="1">
        <v>45735</v>
      </c>
      <c r="G2117" s="1">
        <v>45736</v>
      </c>
      <c r="H2117" t="s">
        <v>12</v>
      </c>
      <c r="I2117" t="s">
        <v>3</v>
      </c>
      <c r="J2117">
        <v>4</v>
      </c>
      <c r="K2117" t="s">
        <v>4</v>
      </c>
      <c r="L2117" t="s">
        <v>18</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2204</v>
      </c>
      <c r="B2118" t="s">
        <v>22</v>
      </c>
      <c r="C2118">
        <v>1</v>
      </c>
      <c r="D2118">
        <v>47.5</v>
      </c>
      <c r="E2118">
        <v>47.5</v>
      </c>
      <c r="F2118" s="1">
        <v>45735</v>
      </c>
      <c r="G2118" s="1">
        <v>45739</v>
      </c>
      <c r="H2118" t="s">
        <v>8</v>
      </c>
      <c r="I2118" t="s">
        <v>55</v>
      </c>
      <c r="J2118">
        <v>5</v>
      </c>
      <c r="K2118" t="s">
        <v>4</v>
      </c>
      <c r="L2118" t="s">
        <v>18</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2205</v>
      </c>
      <c r="B2119" t="s">
        <v>7</v>
      </c>
      <c r="C2119">
        <v>2</v>
      </c>
      <c r="D2119">
        <v>78.599999999999994</v>
      </c>
      <c r="E2119">
        <v>157.19999999999999</v>
      </c>
      <c r="F2119" s="1">
        <v>45735</v>
      </c>
      <c r="G2119" s="1">
        <v>45736</v>
      </c>
      <c r="H2119" t="s">
        <v>8</v>
      </c>
      <c r="I2119" t="s">
        <v>25</v>
      </c>
      <c r="J2119">
        <v>5</v>
      </c>
      <c r="K2119" t="s">
        <v>4</v>
      </c>
      <c r="L2119" t="s">
        <v>18</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2206</v>
      </c>
      <c r="B2120" t="s">
        <v>24</v>
      </c>
      <c r="C2120">
        <v>4</v>
      </c>
      <c r="D2120">
        <v>87.3</v>
      </c>
      <c r="E2120">
        <v>349.2</v>
      </c>
      <c r="F2120" s="1">
        <v>45735</v>
      </c>
      <c r="G2120" s="1">
        <v>45736</v>
      </c>
      <c r="H2120" t="s">
        <v>8</v>
      </c>
      <c r="I2120" t="s">
        <v>3</v>
      </c>
      <c r="J2120">
        <v>4</v>
      </c>
      <c r="K2120" t="s">
        <v>4</v>
      </c>
      <c r="L2120" t="s">
        <v>18</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2207</v>
      </c>
      <c r="B2121" t="s">
        <v>31</v>
      </c>
      <c r="C2121">
        <v>2</v>
      </c>
      <c r="D2121">
        <v>63.2</v>
      </c>
      <c r="E2121">
        <v>126.4</v>
      </c>
      <c r="F2121" s="1">
        <v>45735</v>
      </c>
      <c r="G2121" s="1">
        <v>45735</v>
      </c>
      <c r="H2121" t="s">
        <v>8</v>
      </c>
      <c r="I2121" t="s">
        <v>55</v>
      </c>
      <c r="J2121">
        <v>3</v>
      </c>
      <c r="K2121" t="s">
        <v>4</v>
      </c>
      <c r="L2121" t="s">
        <v>18</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2208</v>
      </c>
      <c r="B2122" t="s">
        <v>22</v>
      </c>
      <c r="C2122">
        <v>5</v>
      </c>
      <c r="D2122">
        <v>33.700000000000003</v>
      </c>
      <c r="E2122">
        <v>168.5</v>
      </c>
      <c r="F2122" s="1">
        <v>45735</v>
      </c>
      <c r="G2122" s="1">
        <v>45736</v>
      </c>
      <c r="H2122" t="s">
        <v>12</v>
      </c>
      <c r="I2122" t="s">
        <v>3</v>
      </c>
      <c r="J2122">
        <v>4</v>
      </c>
      <c r="K2122" t="s">
        <v>4</v>
      </c>
      <c r="L2122" t="s">
        <v>18</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2209</v>
      </c>
      <c r="B2123" t="s">
        <v>11</v>
      </c>
      <c r="C2123">
        <v>3</v>
      </c>
      <c r="D2123">
        <v>107.4</v>
      </c>
      <c r="E2123">
        <v>322.20000000000005</v>
      </c>
      <c r="F2123" s="1">
        <v>45735</v>
      </c>
      <c r="G2123" s="1">
        <v>45748</v>
      </c>
      <c r="H2123" t="s">
        <v>12</v>
      </c>
      <c r="I2123" t="s">
        <v>20</v>
      </c>
      <c r="J2123">
        <v>5</v>
      </c>
      <c r="K2123" t="s">
        <v>4</v>
      </c>
      <c r="L2123" t="s">
        <v>18</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2210</v>
      </c>
      <c r="B2124" t="s">
        <v>17</v>
      </c>
      <c r="C2124">
        <v>4</v>
      </c>
      <c r="D2124">
        <v>22.2</v>
      </c>
      <c r="E2124">
        <v>88.8</v>
      </c>
      <c r="F2124" s="1">
        <v>45735</v>
      </c>
      <c r="G2124" s="1">
        <v>45736</v>
      </c>
      <c r="H2124" t="s">
        <v>2</v>
      </c>
      <c r="I2124" t="s">
        <v>20</v>
      </c>
      <c r="J2124">
        <v>5</v>
      </c>
      <c r="K2124" t="s">
        <v>4</v>
      </c>
      <c r="L2124" t="s">
        <v>171</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2211</v>
      </c>
      <c r="B2125" t="s">
        <v>131</v>
      </c>
      <c r="C2125">
        <v>3</v>
      </c>
      <c r="D2125">
        <v>52.8</v>
      </c>
      <c r="E2125">
        <v>158.39999999999998</v>
      </c>
      <c r="F2125" s="1">
        <v>45735</v>
      </c>
      <c r="G2125" s="1">
        <v>45736</v>
      </c>
      <c r="H2125" t="s">
        <v>8</v>
      </c>
      <c r="I2125" t="s">
        <v>36</v>
      </c>
      <c r="J2125">
        <v>5</v>
      </c>
      <c r="K2125" t="s">
        <v>4</v>
      </c>
      <c r="L2125" t="s">
        <v>171</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2212</v>
      </c>
      <c r="B2126" t="s">
        <v>29</v>
      </c>
      <c r="C2126">
        <v>3</v>
      </c>
      <c r="D2126">
        <v>41.5</v>
      </c>
      <c r="E2126">
        <v>124.5</v>
      </c>
      <c r="F2126" s="1">
        <v>45735</v>
      </c>
      <c r="G2126" s="1">
        <v>45738</v>
      </c>
      <c r="H2126" t="s">
        <v>12</v>
      </c>
      <c r="I2126" t="s">
        <v>3</v>
      </c>
      <c r="J2126">
        <v>4</v>
      </c>
      <c r="K2126" t="s">
        <v>4</v>
      </c>
      <c r="L2126" t="s">
        <v>173</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2213</v>
      </c>
      <c r="B2127" t="s">
        <v>54</v>
      </c>
      <c r="C2127">
        <v>8</v>
      </c>
      <c r="D2127">
        <v>103.5</v>
      </c>
      <c r="E2127">
        <v>828</v>
      </c>
      <c r="F2127" s="1">
        <v>45735</v>
      </c>
      <c r="G2127" s="1">
        <v>45738</v>
      </c>
      <c r="H2127" t="s">
        <v>12</v>
      </c>
      <c r="I2127" t="s">
        <v>3</v>
      </c>
      <c r="J2127">
        <v>5</v>
      </c>
      <c r="K2127" t="s">
        <v>4</v>
      </c>
      <c r="L2127" t="s">
        <v>143</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2214</v>
      </c>
      <c r="B2128" t="s">
        <v>17</v>
      </c>
      <c r="C2128">
        <v>14</v>
      </c>
      <c r="D2128">
        <v>37.5</v>
      </c>
      <c r="E2128">
        <v>525</v>
      </c>
      <c r="F2128" s="1">
        <v>45735</v>
      </c>
      <c r="G2128" s="1">
        <v>45735</v>
      </c>
      <c r="H2128" t="s">
        <v>12</v>
      </c>
      <c r="I2128" t="s">
        <v>20</v>
      </c>
      <c r="J2128">
        <v>5</v>
      </c>
      <c r="K2128" t="s">
        <v>4</v>
      </c>
      <c r="L2128" t="s">
        <v>40</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2215</v>
      </c>
      <c r="B2129" t="s">
        <v>108</v>
      </c>
      <c r="C2129">
        <v>8</v>
      </c>
      <c r="D2129">
        <v>44.4</v>
      </c>
      <c r="E2129">
        <v>355.2</v>
      </c>
      <c r="F2129" s="1">
        <v>45735</v>
      </c>
      <c r="G2129" s="1">
        <v>45741</v>
      </c>
      <c r="H2129" t="s">
        <v>12</v>
      </c>
      <c r="I2129" t="s">
        <v>36</v>
      </c>
      <c r="J2129">
        <v>5</v>
      </c>
      <c r="K2129" t="s">
        <v>4</v>
      </c>
      <c r="L2129" t="s">
        <v>44</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2216</v>
      </c>
      <c r="B2130" t="s">
        <v>29</v>
      </c>
      <c r="C2130">
        <v>3</v>
      </c>
      <c r="D2130">
        <v>26.2</v>
      </c>
      <c r="E2130">
        <v>78.599999999999994</v>
      </c>
      <c r="F2130" s="1">
        <v>45735</v>
      </c>
      <c r="G2130" s="1">
        <v>45736</v>
      </c>
      <c r="H2130" t="s">
        <v>8</v>
      </c>
      <c r="I2130" t="s">
        <v>3</v>
      </c>
      <c r="J2130">
        <v>4</v>
      </c>
      <c r="K2130" t="s">
        <v>4</v>
      </c>
      <c r="L2130" t="s">
        <v>47</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2217</v>
      </c>
      <c r="B2131" t="s">
        <v>7</v>
      </c>
      <c r="C2131">
        <v>7</v>
      </c>
      <c r="D2131">
        <v>32.200000000000003</v>
      </c>
      <c r="E2131">
        <v>225.40000000000003</v>
      </c>
      <c r="F2131" s="1">
        <v>45735</v>
      </c>
      <c r="G2131" s="1">
        <v>45736</v>
      </c>
      <c r="H2131" t="s">
        <v>12</v>
      </c>
      <c r="I2131" t="s">
        <v>20</v>
      </c>
      <c r="J2131">
        <v>5</v>
      </c>
      <c r="K2131" t="s">
        <v>4</v>
      </c>
      <c r="L2131" t="s">
        <v>47</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2218</v>
      </c>
      <c r="B2132" t="s">
        <v>29</v>
      </c>
      <c r="C2132">
        <v>1</v>
      </c>
      <c r="D2132">
        <v>17.399999999999999</v>
      </c>
      <c r="E2132">
        <v>17.399999999999999</v>
      </c>
      <c r="F2132" s="1">
        <v>45735</v>
      </c>
      <c r="G2132" s="1">
        <v>45739</v>
      </c>
      <c r="H2132" t="s">
        <v>2</v>
      </c>
      <c r="I2132" t="s">
        <v>25</v>
      </c>
      <c r="J2132">
        <v>3</v>
      </c>
      <c r="K2132" t="s">
        <v>4</v>
      </c>
      <c r="L2132" t="s">
        <v>47</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2219</v>
      </c>
      <c r="B2133" t="s">
        <v>29</v>
      </c>
      <c r="C2133">
        <v>6</v>
      </c>
      <c r="D2133">
        <v>72.3</v>
      </c>
      <c r="E2133">
        <v>433.79999999999995</v>
      </c>
      <c r="F2133" s="1">
        <v>45735</v>
      </c>
      <c r="G2133" s="1">
        <v>45738</v>
      </c>
      <c r="H2133" t="s">
        <v>12</v>
      </c>
      <c r="I2133" t="s">
        <v>3</v>
      </c>
      <c r="J2133">
        <v>4</v>
      </c>
      <c r="K2133" t="s">
        <v>4</v>
      </c>
      <c r="L2133" t="s">
        <v>47</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2220</v>
      </c>
      <c r="B2134" t="s">
        <v>29</v>
      </c>
      <c r="C2134">
        <v>11</v>
      </c>
      <c r="D2134">
        <v>24.3</v>
      </c>
      <c r="E2134">
        <v>267.3</v>
      </c>
      <c r="F2134" s="1">
        <v>45735</v>
      </c>
      <c r="G2134" s="1">
        <v>45736</v>
      </c>
      <c r="H2134" t="s">
        <v>8</v>
      </c>
      <c r="I2134" t="s">
        <v>3</v>
      </c>
      <c r="J2134">
        <v>4</v>
      </c>
      <c r="K2134" t="s">
        <v>4</v>
      </c>
      <c r="L2134" t="s">
        <v>47</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2221</v>
      </c>
      <c r="B2135" t="s">
        <v>61</v>
      </c>
      <c r="C2135">
        <v>3</v>
      </c>
      <c r="D2135">
        <v>49.1</v>
      </c>
      <c r="E2135">
        <v>147.30000000000001</v>
      </c>
      <c r="F2135" s="1">
        <v>45735</v>
      </c>
      <c r="G2135" s="1">
        <v>45741</v>
      </c>
      <c r="H2135" t="s">
        <v>8</v>
      </c>
      <c r="I2135" t="s">
        <v>25</v>
      </c>
      <c r="J2135">
        <v>2</v>
      </c>
      <c r="K2135" t="s">
        <v>4</v>
      </c>
      <c r="L2135" t="s">
        <v>47</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2222</v>
      </c>
      <c r="B2136" t="s">
        <v>11</v>
      </c>
      <c r="C2136">
        <v>10</v>
      </c>
      <c r="D2136">
        <v>234.7</v>
      </c>
      <c r="E2136">
        <v>2347</v>
      </c>
      <c r="F2136" s="1">
        <v>45735</v>
      </c>
      <c r="G2136" s="1">
        <v>45736</v>
      </c>
      <c r="H2136" t="s">
        <v>8</v>
      </c>
      <c r="I2136" t="s">
        <v>36</v>
      </c>
      <c r="J2136">
        <v>3</v>
      </c>
      <c r="K2136" t="s">
        <v>4</v>
      </c>
      <c r="L2136" t="s">
        <v>47</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2223</v>
      </c>
      <c r="B2137" t="s">
        <v>15</v>
      </c>
      <c r="C2137">
        <v>5</v>
      </c>
      <c r="D2137">
        <v>76.099999999999994</v>
      </c>
      <c r="E2137">
        <v>380.5</v>
      </c>
      <c r="F2137" s="1">
        <v>45735</v>
      </c>
      <c r="G2137" s="1">
        <v>45737</v>
      </c>
      <c r="H2137" t="s">
        <v>8</v>
      </c>
      <c r="I2137" t="s">
        <v>20</v>
      </c>
      <c r="J2137">
        <v>3</v>
      </c>
      <c r="K2137" t="s">
        <v>4</v>
      </c>
      <c r="L2137" t="s">
        <v>88</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2224</v>
      </c>
      <c r="B2138" t="s">
        <v>7</v>
      </c>
      <c r="C2138">
        <v>3</v>
      </c>
      <c r="D2138">
        <v>93.9</v>
      </c>
      <c r="E2138">
        <v>281.70000000000005</v>
      </c>
      <c r="F2138" s="1">
        <v>45735</v>
      </c>
      <c r="G2138" s="1">
        <v>45736</v>
      </c>
      <c r="H2138" t="s">
        <v>8</v>
      </c>
      <c r="I2138" t="s">
        <v>20</v>
      </c>
      <c r="J2138">
        <v>2</v>
      </c>
      <c r="K2138" t="s">
        <v>4</v>
      </c>
      <c r="L2138" t="s">
        <v>62</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2225</v>
      </c>
      <c r="B2139" t="s">
        <v>11</v>
      </c>
      <c r="C2139">
        <v>4</v>
      </c>
      <c r="D2139">
        <v>187</v>
      </c>
      <c r="E2139">
        <v>748</v>
      </c>
      <c r="F2139" s="1">
        <v>45736</v>
      </c>
      <c r="G2139" s="1">
        <v>45739</v>
      </c>
      <c r="H2139" t="s">
        <v>8</v>
      </c>
      <c r="I2139" t="s">
        <v>3</v>
      </c>
      <c r="J2139">
        <v>4</v>
      </c>
      <c r="K2139" t="s">
        <v>4</v>
      </c>
      <c r="L2139" t="s">
        <v>62</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2226</v>
      </c>
      <c r="B2140" t="s">
        <v>29</v>
      </c>
      <c r="C2140">
        <v>2</v>
      </c>
      <c r="D2140">
        <v>18</v>
      </c>
      <c r="E2140">
        <v>36</v>
      </c>
      <c r="F2140" s="1">
        <v>45736</v>
      </c>
      <c r="G2140" s="1">
        <v>45737</v>
      </c>
      <c r="H2140" t="s">
        <v>12</v>
      </c>
      <c r="I2140" t="s">
        <v>20</v>
      </c>
      <c r="J2140">
        <v>5</v>
      </c>
      <c r="K2140" t="s">
        <v>4</v>
      </c>
      <c r="L2140" t="s">
        <v>1101</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2227</v>
      </c>
      <c r="B2141" t="s">
        <v>17</v>
      </c>
      <c r="C2141">
        <v>1</v>
      </c>
      <c r="D2141">
        <v>24.4</v>
      </c>
      <c r="E2141">
        <v>24.4</v>
      </c>
      <c r="F2141" s="1">
        <v>45736</v>
      </c>
      <c r="G2141" s="1">
        <v>45737</v>
      </c>
      <c r="H2141" t="s">
        <v>12</v>
      </c>
      <c r="I2141" t="s">
        <v>55</v>
      </c>
      <c r="J2141">
        <v>5</v>
      </c>
      <c r="K2141" t="s">
        <v>4</v>
      </c>
      <c r="L2141" t="s">
        <v>100</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2228</v>
      </c>
      <c r="B2142" t="s">
        <v>39</v>
      </c>
      <c r="C2142">
        <v>2</v>
      </c>
      <c r="D2142">
        <v>38.799999999999997</v>
      </c>
      <c r="E2142">
        <v>77.599999999999994</v>
      </c>
      <c r="F2142" s="1">
        <v>45736</v>
      </c>
      <c r="G2142" s="1">
        <v>45737</v>
      </c>
      <c r="H2142" t="s">
        <v>8</v>
      </c>
      <c r="I2142" t="s">
        <v>55</v>
      </c>
      <c r="J2142">
        <v>3</v>
      </c>
      <c r="K2142" t="s">
        <v>4</v>
      </c>
      <c r="L2142" t="s">
        <v>18</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2229</v>
      </c>
      <c r="B2143" t="s">
        <v>15</v>
      </c>
      <c r="C2143">
        <v>1</v>
      </c>
      <c r="D2143">
        <v>59.7</v>
      </c>
      <c r="E2143">
        <v>59.7</v>
      </c>
      <c r="F2143" s="1">
        <v>45736</v>
      </c>
      <c r="G2143" s="1">
        <v>45739</v>
      </c>
      <c r="H2143" t="s">
        <v>8</v>
      </c>
      <c r="I2143" t="s">
        <v>36</v>
      </c>
      <c r="J2143">
        <v>4</v>
      </c>
      <c r="K2143" t="s">
        <v>4</v>
      </c>
      <c r="L2143" t="s">
        <v>18</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2230</v>
      </c>
      <c r="B2144" t="s">
        <v>27</v>
      </c>
      <c r="C2144">
        <v>1</v>
      </c>
      <c r="D2144">
        <v>31.2</v>
      </c>
      <c r="E2144">
        <v>31.2</v>
      </c>
      <c r="F2144" s="1">
        <v>45736</v>
      </c>
      <c r="G2144" s="1">
        <v>45737</v>
      </c>
      <c r="H2144" t="s">
        <v>8</v>
      </c>
      <c r="I2144" t="s">
        <v>20</v>
      </c>
      <c r="J2144">
        <v>5</v>
      </c>
      <c r="K2144" t="s">
        <v>4</v>
      </c>
      <c r="L2144" t="s">
        <v>18</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2231</v>
      </c>
      <c r="B2145" t="s">
        <v>1</v>
      </c>
      <c r="C2145">
        <v>1</v>
      </c>
      <c r="D2145">
        <v>16.8</v>
      </c>
      <c r="E2145">
        <v>16.8</v>
      </c>
      <c r="F2145" s="1">
        <v>45736</v>
      </c>
      <c r="G2145" s="1">
        <v>45737</v>
      </c>
      <c r="H2145" t="s">
        <v>12</v>
      </c>
      <c r="I2145" t="s">
        <v>25</v>
      </c>
      <c r="J2145">
        <v>3</v>
      </c>
      <c r="K2145" t="s">
        <v>4</v>
      </c>
      <c r="L2145" t="s">
        <v>18</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2232</v>
      </c>
      <c r="B2146" t="s">
        <v>29</v>
      </c>
      <c r="C2146">
        <v>1</v>
      </c>
      <c r="D2146">
        <v>46</v>
      </c>
      <c r="E2146">
        <v>46</v>
      </c>
      <c r="F2146" s="1">
        <v>45736</v>
      </c>
      <c r="G2146" s="1">
        <v>45737</v>
      </c>
      <c r="H2146" t="s">
        <v>8</v>
      </c>
      <c r="I2146" t="s">
        <v>3</v>
      </c>
      <c r="J2146">
        <v>4</v>
      </c>
      <c r="K2146" t="s">
        <v>4</v>
      </c>
      <c r="L2146" t="s">
        <v>18</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2233</v>
      </c>
      <c r="B2147" t="s">
        <v>31</v>
      </c>
      <c r="C2147">
        <v>8</v>
      </c>
      <c r="D2147">
        <v>42.2</v>
      </c>
      <c r="E2147">
        <v>337.6</v>
      </c>
      <c r="F2147" s="1">
        <v>45736</v>
      </c>
      <c r="G2147" s="1">
        <v>45739</v>
      </c>
      <c r="H2147" t="s">
        <v>12</v>
      </c>
      <c r="I2147" t="s">
        <v>36</v>
      </c>
      <c r="J2147">
        <v>5</v>
      </c>
      <c r="K2147" t="s">
        <v>4</v>
      </c>
      <c r="L2147" t="s">
        <v>18</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2234</v>
      </c>
      <c r="B2148" t="s">
        <v>7</v>
      </c>
      <c r="C2148">
        <v>3</v>
      </c>
      <c r="D2148">
        <v>71.5</v>
      </c>
      <c r="E2148">
        <v>214.5</v>
      </c>
      <c r="F2148" s="1">
        <v>45736</v>
      </c>
      <c r="G2148" s="1">
        <v>45750</v>
      </c>
      <c r="H2148" t="s">
        <v>12</v>
      </c>
      <c r="I2148" t="s">
        <v>3</v>
      </c>
      <c r="J2148">
        <v>4</v>
      </c>
      <c r="K2148" t="s">
        <v>4</v>
      </c>
      <c r="L2148" t="s">
        <v>18</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2235</v>
      </c>
      <c r="B2149" t="s">
        <v>7</v>
      </c>
      <c r="C2149">
        <v>2</v>
      </c>
      <c r="D2149">
        <v>76.599999999999994</v>
      </c>
      <c r="E2149">
        <v>153.19999999999999</v>
      </c>
      <c r="F2149" s="1">
        <v>45736</v>
      </c>
      <c r="G2149" s="1">
        <v>45736</v>
      </c>
      <c r="H2149" t="s">
        <v>8</v>
      </c>
      <c r="I2149" t="s">
        <v>3</v>
      </c>
      <c r="J2149">
        <v>5</v>
      </c>
      <c r="K2149" t="s">
        <v>4</v>
      </c>
      <c r="L2149" t="s">
        <v>18</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2236</v>
      </c>
      <c r="B2150" t="s">
        <v>54</v>
      </c>
      <c r="C2150">
        <v>2</v>
      </c>
      <c r="D2150">
        <v>87.3</v>
      </c>
      <c r="E2150">
        <v>174.6</v>
      </c>
      <c r="F2150" s="1">
        <v>45736</v>
      </c>
      <c r="G2150" s="1">
        <v>45744</v>
      </c>
      <c r="H2150" t="s">
        <v>12</v>
      </c>
      <c r="I2150" t="s">
        <v>36</v>
      </c>
      <c r="J2150">
        <v>5</v>
      </c>
      <c r="K2150" t="s">
        <v>4</v>
      </c>
      <c r="L2150" t="s">
        <v>18</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2237</v>
      </c>
      <c r="B2151" t="s">
        <v>7</v>
      </c>
      <c r="C2151">
        <v>1</v>
      </c>
      <c r="D2151">
        <v>63</v>
      </c>
      <c r="E2151">
        <v>63</v>
      </c>
      <c r="F2151" s="1">
        <v>45736</v>
      </c>
      <c r="G2151" s="1">
        <v>45739</v>
      </c>
      <c r="H2151" t="s">
        <v>8</v>
      </c>
      <c r="I2151" t="s">
        <v>36</v>
      </c>
      <c r="J2151">
        <v>4</v>
      </c>
      <c r="K2151" t="s">
        <v>4</v>
      </c>
      <c r="L2151" t="s">
        <v>18</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2238</v>
      </c>
      <c r="B2152" t="s">
        <v>29</v>
      </c>
      <c r="C2152">
        <v>2</v>
      </c>
      <c r="D2152">
        <v>41.7</v>
      </c>
      <c r="E2152">
        <v>83.4</v>
      </c>
      <c r="F2152" s="1">
        <v>45736</v>
      </c>
      <c r="G2152" s="1">
        <v>45737</v>
      </c>
      <c r="H2152" t="s">
        <v>12</v>
      </c>
      <c r="I2152" t="s">
        <v>55</v>
      </c>
      <c r="J2152">
        <v>3</v>
      </c>
      <c r="K2152" t="s">
        <v>4</v>
      </c>
      <c r="L2152" t="s">
        <v>530</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2239</v>
      </c>
      <c r="B2153" t="s">
        <v>24</v>
      </c>
      <c r="C2153">
        <v>2</v>
      </c>
      <c r="D2153">
        <v>76.099999999999994</v>
      </c>
      <c r="E2153">
        <v>152.19999999999999</v>
      </c>
      <c r="F2153" s="1">
        <v>45736</v>
      </c>
      <c r="G2153" s="1">
        <v>45736</v>
      </c>
      <c r="H2153" t="s">
        <v>12</v>
      </c>
      <c r="I2153" t="s">
        <v>55</v>
      </c>
      <c r="J2153">
        <v>5</v>
      </c>
      <c r="K2153" t="s">
        <v>4</v>
      </c>
      <c r="L2153" t="s">
        <v>83</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2240</v>
      </c>
      <c r="B2154" t="s">
        <v>61</v>
      </c>
      <c r="C2154">
        <v>2</v>
      </c>
      <c r="D2154">
        <v>28.5</v>
      </c>
      <c r="E2154">
        <v>57</v>
      </c>
      <c r="F2154" s="1">
        <v>45736</v>
      </c>
      <c r="G2154" s="1">
        <v>45737</v>
      </c>
      <c r="H2154" t="s">
        <v>12</v>
      </c>
      <c r="I2154" t="s">
        <v>3</v>
      </c>
      <c r="J2154">
        <v>5</v>
      </c>
      <c r="K2154" t="s">
        <v>4</v>
      </c>
      <c r="L2154" t="s">
        <v>34</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2241</v>
      </c>
      <c r="B2155" t="s">
        <v>1</v>
      </c>
      <c r="C2155">
        <v>4</v>
      </c>
      <c r="D2155">
        <v>32.1</v>
      </c>
      <c r="E2155">
        <v>128.4</v>
      </c>
      <c r="F2155" s="1">
        <v>45736</v>
      </c>
      <c r="G2155" s="1">
        <v>45737</v>
      </c>
      <c r="H2155" t="s">
        <v>12</v>
      </c>
      <c r="I2155" t="s">
        <v>20</v>
      </c>
      <c r="J2155">
        <v>5</v>
      </c>
      <c r="K2155" t="s">
        <v>4</v>
      </c>
      <c r="L2155" t="s">
        <v>173</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2242</v>
      </c>
      <c r="B2156" t="s">
        <v>17</v>
      </c>
      <c r="C2156">
        <v>3</v>
      </c>
      <c r="D2156">
        <v>39</v>
      </c>
      <c r="E2156">
        <v>117</v>
      </c>
      <c r="F2156" s="1">
        <v>45736</v>
      </c>
      <c r="G2156" s="1">
        <v>45739</v>
      </c>
      <c r="H2156" t="s">
        <v>8</v>
      </c>
      <c r="I2156" t="s">
        <v>20</v>
      </c>
      <c r="J2156">
        <v>5</v>
      </c>
      <c r="K2156" t="s">
        <v>4</v>
      </c>
      <c r="L2156" t="s">
        <v>173</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2243</v>
      </c>
      <c r="B2157" t="s">
        <v>24</v>
      </c>
      <c r="C2157">
        <v>1</v>
      </c>
      <c r="D2157">
        <v>78.5</v>
      </c>
      <c r="E2157">
        <v>78.5</v>
      </c>
      <c r="F2157" s="1">
        <v>45736</v>
      </c>
      <c r="G2157" s="1">
        <v>45737</v>
      </c>
      <c r="H2157" t="s">
        <v>8</v>
      </c>
      <c r="I2157" t="s">
        <v>20</v>
      </c>
      <c r="J2157">
        <v>4</v>
      </c>
      <c r="K2157" t="s">
        <v>4</v>
      </c>
      <c r="L2157" t="s">
        <v>40</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2244</v>
      </c>
      <c r="B2158" t="s">
        <v>17</v>
      </c>
      <c r="C2158">
        <v>5</v>
      </c>
      <c r="D2158">
        <v>49.7</v>
      </c>
      <c r="E2158">
        <v>248.5</v>
      </c>
      <c r="F2158" s="1">
        <v>45736</v>
      </c>
      <c r="G2158" s="1">
        <v>45738</v>
      </c>
      <c r="H2158" t="s">
        <v>12</v>
      </c>
      <c r="I2158" t="s">
        <v>3</v>
      </c>
      <c r="J2158">
        <v>4</v>
      </c>
      <c r="K2158" t="s">
        <v>4</v>
      </c>
      <c r="L2158" t="s">
        <v>40</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2245</v>
      </c>
      <c r="B2159" t="s">
        <v>7</v>
      </c>
      <c r="C2159">
        <v>4</v>
      </c>
      <c r="D2159">
        <v>68.400000000000006</v>
      </c>
      <c r="E2159">
        <v>273.60000000000002</v>
      </c>
      <c r="F2159" s="1">
        <v>45736</v>
      </c>
      <c r="G2159" s="1">
        <v>45737</v>
      </c>
      <c r="H2159" t="s">
        <v>12</v>
      </c>
      <c r="I2159" t="s">
        <v>25</v>
      </c>
      <c r="J2159">
        <v>5</v>
      </c>
      <c r="K2159" t="s">
        <v>4</v>
      </c>
      <c r="L2159" t="s">
        <v>44</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2246</v>
      </c>
      <c r="B2160" t="s">
        <v>15</v>
      </c>
      <c r="C2160">
        <v>2</v>
      </c>
      <c r="D2160">
        <v>72.900000000000006</v>
      </c>
      <c r="E2160">
        <v>145.80000000000001</v>
      </c>
      <c r="F2160" s="1">
        <v>45736</v>
      </c>
      <c r="G2160" s="1">
        <v>45739</v>
      </c>
      <c r="H2160" t="s">
        <v>2</v>
      </c>
      <c r="I2160" t="s">
        <v>3</v>
      </c>
      <c r="J2160">
        <v>5</v>
      </c>
      <c r="K2160" t="s">
        <v>4</v>
      </c>
      <c r="L2160" t="s">
        <v>44</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2247</v>
      </c>
      <c r="B2161" t="s">
        <v>22</v>
      </c>
      <c r="C2161">
        <v>13</v>
      </c>
      <c r="D2161">
        <v>30.3</v>
      </c>
      <c r="E2161">
        <v>393.90000000000003</v>
      </c>
      <c r="F2161" s="1">
        <v>45736</v>
      </c>
      <c r="G2161" s="1">
        <v>45737</v>
      </c>
      <c r="H2161" t="s">
        <v>8</v>
      </c>
      <c r="I2161" t="s">
        <v>55</v>
      </c>
      <c r="J2161">
        <v>4</v>
      </c>
      <c r="K2161" t="s">
        <v>4</v>
      </c>
      <c r="L2161" t="s">
        <v>44</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2248</v>
      </c>
      <c r="B2162" t="s">
        <v>24</v>
      </c>
      <c r="C2162">
        <v>11</v>
      </c>
      <c r="D2162">
        <v>57.9</v>
      </c>
      <c r="E2162">
        <v>636.9</v>
      </c>
      <c r="F2162" s="1">
        <v>45736</v>
      </c>
      <c r="G2162" s="1">
        <v>45737</v>
      </c>
      <c r="H2162" t="s">
        <v>12</v>
      </c>
      <c r="I2162" t="s">
        <v>3</v>
      </c>
      <c r="J2162">
        <v>4</v>
      </c>
      <c r="K2162" t="s">
        <v>4</v>
      </c>
      <c r="L2162" t="s">
        <v>47</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2249</v>
      </c>
      <c r="B2163" t="s">
        <v>7</v>
      </c>
      <c r="C2163">
        <v>1</v>
      </c>
      <c r="D2163">
        <v>96.7</v>
      </c>
      <c r="E2163">
        <v>96.7</v>
      </c>
      <c r="F2163" s="1">
        <v>45736</v>
      </c>
      <c r="G2163" s="1">
        <v>45737</v>
      </c>
      <c r="H2163" t="s">
        <v>8</v>
      </c>
      <c r="I2163" t="s">
        <v>3</v>
      </c>
      <c r="J2163">
        <v>4</v>
      </c>
      <c r="K2163" t="s">
        <v>4</v>
      </c>
      <c r="L2163" t="s">
        <v>47</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2250</v>
      </c>
      <c r="B2164" t="s">
        <v>29</v>
      </c>
      <c r="C2164">
        <v>12</v>
      </c>
      <c r="D2164">
        <v>27.6</v>
      </c>
      <c r="E2164">
        <v>331.20000000000005</v>
      </c>
      <c r="F2164" s="1">
        <v>45736</v>
      </c>
      <c r="G2164" s="1">
        <v>45738</v>
      </c>
      <c r="H2164" t="s">
        <v>8</v>
      </c>
      <c r="I2164" t="s">
        <v>25</v>
      </c>
      <c r="J2164">
        <v>5</v>
      </c>
      <c r="K2164" t="s">
        <v>4</v>
      </c>
      <c r="L2164" t="s">
        <v>47</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2251</v>
      </c>
      <c r="B2165" t="s">
        <v>24</v>
      </c>
      <c r="C2165">
        <v>4</v>
      </c>
      <c r="D2165">
        <v>64.7</v>
      </c>
      <c r="E2165">
        <v>258.8</v>
      </c>
      <c r="F2165" s="1">
        <v>45736</v>
      </c>
      <c r="G2165" s="1">
        <v>45736</v>
      </c>
      <c r="H2165" t="s">
        <v>8</v>
      </c>
      <c r="I2165" t="s">
        <v>36</v>
      </c>
      <c r="J2165">
        <v>5</v>
      </c>
      <c r="K2165" t="s">
        <v>4</v>
      </c>
      <c r="L2165" t="s">
        <v>47</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2252</v>
      </c>
      <c r="B2166" t="s">
        <v>39</v>
      </c>
      <c r="C2166">
        <v>6</v>
      </c>
      <c r="D2166">
        <v>30.5</v>
      </c>
      <c r="E2166">
        <v>183</v>
      </c>
      <c r="F2166" s="1">
        <v>45736</v>
      </c>
      <c r="G2166" s="1">
        <v>45737</v>
      </c>
      <c r="H2166" t="s">
        <v>8</v>
      </c>
      <c r="I2166" t="s">
        <v>55</v>
      </c>
      <c r="J2166">
        <v>4</v>
      </c>
      <c r="K2166" t="s">
        <v>4</v>
      </c>
      <c r="L2166" t="s">
        <v>47</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2253</v>
      </c>
      <c r="B2167" t="s">
        <v>24</v>
      </c>
      <c r="C2167">
        <v>70</v>
      </c>
      <c r="D2167">
        <v>106</v>
      </c>
      <c r="E2167">
        <v>7420</v>
      </c>
      <c r="F2167" s="1">
        <v>45737</v>
      </c>
      <c r="G2167" s="1">
        <v>45739</v>
      </c>
      <c r="H2167" t="s">
        <v>8</v>
      </c>
      <c r="I2167" t="s">
        <v>55</v>
      </c>
      <c r="J2167">
        <v>5</v>
      </c>
      <c r="K2167" t="s">
        <v>4</v>
      </c>
      <c r="L2167" t="s">
        <v>47</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2254</v>
      </c>
      <c r="B2168" t="s">
        <v>54</v>
      </c>
      <c r="C2168">
        <v>5</v>
      </c>
      <c r="D2168">
        <v>76.8</v>
      </c>
      <c r="E2168">
        <v>384</v>
      </c>
      <c r="F2168" s="1">
        <v>45737</v>
      </c>
      <c r="G2168" s="1">
        <v>45743</v>
      </c>
      <c r="H2168" t="s">
        <v>2</v>
      </c>
      <c r="I2168" t="s">
        <v>20</v>
      </c>
      <c r="J2168">
        <v>3</v>
      </c>
      <c r="K2168" t="s">
        <v>4</v>
      </c>
      <c r="L2168" t="s">
        <v>93</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2255</v>
      </c>
      <c r="B2169" t="s">
        <v>24</v>
      </c>
      <c r="C2169">
        <v>2</v>
      </c>
      <c r="D2169">
        <v>80.400000000000006</v>
      </c>
      <c r="E2169">
        <v>160.80000000000001</v>
      </c>
      <c r="F2169" s="1">
        <v>45737</v>
      </c>
      <c r="G2169" s="1">
        <v>45738</v>
      </c>
      <c r="H2169" t="s">
        <v>12</v>
      </c>
      <c r="I2169" t="s">
        <v>25</v>
      </c>
      <c r="J2169">
        <v>4</v>
      </c>
      <c r="K2169" t="s">
        <v>4</v>
      </c>
      <c r="L2169" t="s">
        <v>67</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2256</v>
      </c>
      <c r="B2170" t="s">
        <v>24</v>
      </c>
      <c r="C2170">
        <v>4</v>
      </c>
      <c r="D2170">
        <v>69.099999999999994</v>
      </c>
      <c r="E2170">
        <v>276.39999999999998</v>
      </c>
      <c r="F2170" s="1">
        <v>45737</v>
      </c>
      <c r="G2170" s="1">
        <v>45738</v>
      </c>
      <c r="H2170" t="s">
        <v>8</v>
      </c>
      <c r="I2170" t="s">
        <v>20</v>
      </c>
      <c r="J2170">
        <v>5</v>
      </c>
      <c r="K2170" t="s">
        <v>4</v>
      </c>
      <c r="L2170" t="s">
        <v>100</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2257</v>
      </c>
      <c r="B2171" t="s">
        <v>131</v>
      </c>
      <c r="C2171">
        <v>2</v>
      </c>
      <c r="D2171">
        <v>76.400000000000006</v>
      </c>
      <c r="E2171">
        <v>152.80000000000001</v>
      </c>
      <c r="F2171" s="1">
        <v>45737</v>
      </c>
      <c r="G2171" s="1">
        <v>45737</v>
      </c>
      <c r="H2171" t="s">
        <v>8</v>
      </c>
      <c r="I2171" t="s">
        <v>36</v>
      </c>
      <c r="J2171">
        <v>4</v>
      </c>
      <c r="K2171" t="s">
        <v>4</v>
      </c>
      <c r="L2171" t="s">
        <v>100</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2258</v>
      </c>
      <c r="B2172" t="s">
        <v>11</v>
      </c>
      <c r="C2172">
        <v>2</v>
      </c>
      <c r="D2172">
        <v>61.3</v>
      </c>
      <c r="E2172">
        <v>122.6</v>
      </c>
      <c r="F2172" s="1">
        <v>45737</v>
      </c>
      <c r="G2172" s="1">
        <v>45738</v>
      </c>
      <c r="H2172" t="s">
        <v>12</v>
      </c>
      <c r="I2172" t="s">
        <v>20</v>
      </c>
      <c r="J2172">
        <v>3</v>
      </c>
      <c r="K2172" t="s">
        <v>4</v>
      </c>
      <c r="L2172" t="s">
        <v>100</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2259</v>
      </c>
      <c r="B2173" t="s">
        <v>27</v>
      </c>
      <c r="C2173">
        <v>1</v>
      </c>
      <c r="D2173">
        <v>58</v>
      </c>
      <c r="E2173">
        <v>58</v>
      </c>
      <c r="F2173" s="1">
        <v>45737</v>
      </c>
      <c r="G2173" s="1">
        <v>45738</v>
      </c>
      <c r="H2173" t="s">
        <v>8</v>
      </c>
      <c r="I2173" t="s">
        <v>36</v>
      </c>
      <c r="J2173">
        <v>3</v>
      </c>
      <c r="K2173" t="s">
        <v>4</v>
      </c>
      <c r="L2173" t="s">
        <v>9</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2260</v>
      </c>
      <c r="B2174" t="s">
        <v>11</v>
      </c>
      <c r="C2174">
        <v>8</v>
      </c>
      <c r="D2174">
        <v>102.3</v>
      </c>
      <c r="E2174">
        <v>818.4</v>
      </c>
      <c r="F2174" s="1">
        <v>45737</v>
      </c>
      <c r="G2174" s="1">
        <v>45739</v>
      </c>
      <c r="H2174" t="s">
        <v>8</v>
      </c>
      <c r="I2174" t="s">
        <v>25</v>
      </c>
      <c r="J2174">
        <v>4</v>
      </c>
      <c r="K2174" t="s">
        <v>4</v>
      </c>
      <c r="L2174" t="s">
        <v>422</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2261</v>
      </c>
      <c r="B2175" t="s">
        <v>156</v>
      </c>
      <c r="C2175">
        <v>2</v>
      </c>
      <c r="D2175">
        <v>13.8</v>
      </c>
      <c r="E2175">
        <v>27.6</v>
      </c>
      <c r="F2175" s="1">
        <v>45737</v>
      </c>
      <c r="G2175" s="1">
        <v>45738</v>
      </c>
      <c r="H2175" t="s">
        <v>12</v>
      </c>
      <c r="I2175" t="s">
        <v>55</v>
      </c>
      <c r="J2175">
        <v>5</v>
      </c>
      <c r="K2175" t="s">
        <v>4</v>
      </c>
      <c r="L2175" t="s">
        <v>13</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2262</v>
      </c>
      <c r="B2176" t="s">
        <v>29</v>
      </c>
      <c r="C2176">
        <v>3</v>
      </c>
      <c r="D2176">
        <v>33.299999999999997</v>
      </c>
      <c r="E2176">
        <v>99.899999999999991</v>
      </c>
      <c r="F2176" s="1">
        <v>45737</v>
      </c>
      <c r="G2176" s="1">
        <v>45740</v>
      </c>
      <c r="H2176" t="s">
        <v>12</v>
      </c>
      <c r="I2176" t="s">
        <v>25</v>
      </c>
      <c r="J2176">
        <v>4</v>
      </c>
      <c r="K2176" t="s">
        <v>4</v>
      </c>
      <c r="L2176" t="s">
        <v>132</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2263</v>
      </c>
      <c r="B2177" t="s">
        <v>39</v>
      </c>
      <c r="C2177">
        <v>1</v>
      </c>
      <c r="D2177">
        <v>27.4</v>
      </c>
      <c r="E2177">
        <v>27.4</v>
      </c>
      <c r="F2177" s="1">
        <v>45737</v>
      </c>
      <c r="G2177" s="1">
        <v>45740</v>
      </c>
      <c r="H2177" t="s">
        <v>8</v>
      </c>
      <c r="I2177" t="s">
        <v>3</v>
      </c>
      <c r="J2177">
        <v>5</v>
      </c>
      <c r="K2177" t="s">
        <v>4</v>
      </c>
      <c r="L2177" t="s">
        <v>132</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2264</v>
      </c>
      <c r="B2178" t="s">
        <v>66</v>
      </c>
      <c r="C2178">
        <v>2</v>
      </c>
      <c r="D2178">
        <v>25.6</v>
      </c>
      <c r="E2178">
        <v>51.2</v>
      </c>
      <c r="F2178" s="1">
        <v>45737</v>
      </c>
      <c r="G2178" s="1">
        <v>45738</v>
      </c>
      <c r="H2178" t="s">
        <v>12</v>
      </c>
      <c r="I2178" t="s">
        <v>20</v>
      </c>
      <c r="J2178">
        <v>3</v>
      </c>
      <c r="K2178" t="s">
        <v>4</v>
      </c>
      <c r="L2178" t="s">
        <v>18</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2265</v>
      </c>
      <c r="B2179" t="s">
        <v>61</v>
      </c>
      <c r="C2179">
        <v>1</v>
      </c>
      <c r="D2179">
        <v>58.4</v>
      </c>
      <c r="E2179">
        <v>58.4</v>
      </c>
      <c r="F2179" s="1">
        <v>45737</v>
      </c>
      <c r="G2179" s="1">
        <v>45738</v>
      </c>
      <c r="H2179" t="s">
        <v>12</v>
      </c>
      <c r="I2179" t="s">
        <v>25</v>
      </c>
      <c r="J2179">
        <v>5</v>
      </c>
      <c r="K2179" t="s">
        <v>4</v>
      </c>
      <c r="L2179" t="s">
        <v>18</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2266</v>
      </c>
      <c r="B2180" t="s">
        <v>52</v>
      </c>
      <c r="C2180">
        <v>30</v>
      </c>
      <c r="D2180">
        <v>27</v>
      </c>
      <c r="E2180">
        <v>810</v>
      </c>
      <c r="F2180" s="1">
        <v>45737</v>
      </c>
      <c r="G2180" s="1">
        <v>45738</v>
      </c>
      <c r="H2180" t="s">
        <v>12</v>
      </c>
      <c r="I2180" t="s">
        <v>55</v>
      </c>
      <c r="J2180">
        <v>4</v>
      </c>
      <c r="K2180" t="s">
        <v>4</v>
      </c>
      <c r="L2180" t="s">
        <v>18</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2267</v>
      </c>
      <c r="B2181" t="s">
        <v>1</v>
      </c>
      <c r="C2181">
        <v>4</v>
      </c>
      <c r="D2181">
        <v>14.2</v>
      </c>
      <c r="E2181">
        <v>56.8</v>
      </c>
      <c r="F2181" s="1">
        <v>45737</v>
      </c>
      <c r="G2181" s="1">
        <v>45738</v>
      </c>
      <c r="H2181" t="s">
        <v>8</v>
      </c>
      <c r="I2181" t="s">
        <v>3</v>
      </c>
      <c r="J2181">
        <v>5</v>
      </c>
      <c r="K2181" t="s">
        <v>4</v>
      </c>
      <c r="L2181" t="s">
        <v>18</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2268</v>
      </c>
      <c r="B2182" t="s">
        <v>27</v>
      </c>
      <c r="C2182">
        <v>2</v>
      </c>
      <c r="D2182">
        <v>68</v>
      </c>
      <c r="E2182">
        <v>136</v>
      </c>
      <c r="F2182" s="1">
        <v>45737</v>
      </c>
      <c r="G2182" s="1">
        <v>45747</v>
      </c>
      <c r="H2182" t="s">
        <v>8</v>
      </c>
      <c r="I2182" t="s">
        <v>25</v>
      </c>
      <c r="J2182">
        <v>3</v>
      </c>
      <c r="K2182" t="s">
        <v>4</v>
      </c>
      <c r="L2182" t="s">
        <v>18</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2269</v>
      </c>
      <c r="B2183" t="s">
        <v>29</v>
      </c>
      <c r="C2183">
        <v>1</v>
      </c>
      <c r="D2183">
        <v>30.7</v>
      </c>
      <c r="E2183">
        <v>30.7</v>
      </c>
      <c r="F2183" s="1">
        <v>45737</v>
      </c>
      <c r="G2183" s="1">
        <v>45738</v>
      </c>
      <c r="H2183" t="s">
        <v>8</v>
      </c>
      <c r="I2183" t="s">
        <v>3</v>
      </c>
      <c r="J2183">
        <v>4</v>
      </c>
      <c r="K2183" t="s">
        <v>4</v>
      </c>
      <c r="L2183" t="s">
        <v>18</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2270</v>
      </c>
      <c r="B2184" t="s">
        <v>120</v>
      </c>
      <c r="C2184">
        <v>13</v>
      </c>
      <c r="D2184">
        <v>51.6</v>
      </c>
      <c r="E2184">
        <v>670.80000000000007</v>
      </c>
      <c r="F2184" s="1">
        <v>45737</v>
      </c>
      <c r="G2184" s="1">
        <v>45740</v>
      </c>
      <c r="H2184" t="s">
        <v>74</v>
      </c>
      <c r="I2184" t="s">
        <v>20</v>
      </c>
      <c r="J2184">
        <v>5</v>
      </c>
      <c r="K2184" t="s">
        <v>4</v>
      </c>
      <c r="L2184" t="s">
        <v>18</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2271</v>
      </c>
      <c r="B2185" t="s">
        <v>29</v>
      </c>
      <c r="C2185">
        <v>3</v>
      </c>
      <c r="D2185">
        <v>20.6</v>
      </c>
      <c r="E2185">
        <v>61.800000000000004</v>
      </c>
      <c r="F2185" s="1">
        <v>45737</v>
      </c>
      <c r="G2185" s="1">
        <v>45741</v>
      </c>
      <c r="H2185" t="s">
        <v>12</v>
      </c>
      <c r="I2185" t="s">
        <v>55</v>
      </c>
      <c r="J2185">
        <v>5</v>
      </c>
      <c r="K2185" t="s">
        <v>4</v>
      </c>
      <c r="L2185" t="s">
        <v>18</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2272</v>
      </c>
      <c r="B2186" t="s">
        <v>29</v>
      </c>
      <c r="C2186">
        <v>1</v>
      </c>
      <c r="D2186">
        <v>24.8</v>
      </c>
      <c r="E2186">
        <v>24.8</v>
      </c>
      <c r="F2186" s="1">
        <v>45737</v>
      </c>
      <c r="G2186" s="1">
        <v>45738</v>
      </c>
      <c r="H2186" t="s">
        <v>8</v>
      </c>
      <c r="I2186" t="s">
        <v>55</v>
      </c>
      <c r="J2186">
        <v>4</v>
      </c>
      <c r="K2186" t="s">
        <v>4</v>
      </c>
      <c r="L2186" t="s">
        <v>18</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2273</v>
      </c>
      <c r="B2187" t="s">
        <v>1</v>
      </c>
      <c r="C2187">
        <v>7</v>
      </c>
      <c r="D2187">
        <v>11.2</v>
      </c>
      <c r="E2187">
        <v>78.399999999999991</v>
      </c>
      <c r="F2187" s="1">
        <v>45737</v>
      </c>
      <c r="G2187" s="1">
        <v>45740</v>
      </c>
      <c r="H2187" t="s">
        <v>8</v>
      </c>
      <c r="I2187" t="s">
        <v>20</v>
      </c>
      <c r="J2187">
        <v>4</v>
      </c>
      <c r="K2187" t="s">
        <v>4</v>
      </c>
      <c r="L2187" t="s">
        <v>18</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2274</v>
      </c>
      <c r="B2188" t="s">
        <v>52</v>
      </c>
      <c r="C2188">
        <v>2</v>
      </c>
      <c r="D2188">
        <v>51.2</v>
      </c>
      <c r="E2188">
        <v>102.4</v>
      </c>
      <c r="F2188" s="1">
        <v>45737</v>
      </c>
      <c r="G2188" s="1">
        <v>45738</v>
      </c>
      <c r="H2188" t="s">
        <v>12</v>
      </c>
      <c r="I2188" t="s">
        <v>20</v>
      </c>
      <c r="J2188">
        <v>5</v>
      </c>
      <c r="K2188" t="s">
        <v>4</v>
      </c>
      <c r="L2188" t="s">
        <v>18</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2275</v>
      </c>
      <c r="B2189" t="s">
        <v>27</v>
      </c>
      <c r="C2189">
        <v>6</v>
      </c>
      <c r="D2189">
        <v>90.5</v>
      </c>
      <c r="E2189">
        <v>543</v>
      </c>
      <c r="F2189" s="1">
        <v>45737</v>
      </c>
      <c r="G2189" s="1">
        <v>45738</v>
      </c>
      <c r="H2189" t="s">
        <v>12</v>
      </c>
      <c r="I2189" t="s">
        <v>20</v>
      </c>
      <c r="J2189">
        <v>2</v>
      </c>
      <c r="K2189" t="s">
        <v>4</v>
      </c>
      <c r="L2189" t="s">
        <v>18</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2276</v>
      </c>
      <c r="B2190" t="s">
        <v>7</v>
      </c>
      <c r="C2190">
        <v>2</v>
      </c>
      <c r="D2190">
        <v>42.4</v>
      </c>
      <c r="E2190">
        <v>84.8</v>
      </c>
      <c r="F2190" s="1">
        <v>45737</v>
      </c>
      <c r="G2190" s="1">
        <v>45738</v>
      </c>
      <c r="H2190" t="s">
        <v>8</v>
      </c>
      <c r="I2190" t="s">
        <v>20</v>
      </c>
      <c r="J2190">
        <v>5</v>
      </c>
      <c r="K2190" t="s">
        <v>4</v>
      </c>
      <c r="L2190" t="s">
        <v>34</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2277</v>
      </c>
      <c r="B2191" t="s">
        <v>7</v>
      </c>
      <c r="C2191">
        <v>2</v>
      </c>
      <c r="D2191">
        <v>38.200000000000003</v>
      </c>
      <c r="E2191">
        <v>76.400000000000006</v>
      </c>
      <c r="F2191" s="1">
        <v>45737</v>
      </c>
      <c r="G2191" s="1">
        <v>45738</v>
      </c>
      <c r="H2191" t="s">
        <v>8</v>
      </c>
      <c r="I2191" t="s">
        <v>3</v>
      </c>
      <c r="J2191">
        <v>4</v>
      </c>
      <c r="K2191" t="s">
        <v>4</v>
      </c>
      <c r="L2191" t="s">
        <v>37</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2278</v>
      </c>
      <c r="B2192" t="s">
        <v>11</v>
      </c>
      <c r="C2192">
        <v>9</v>
      </c>
      <c r="D2192">
        <v>121.3</v>
      </c>
      <c r="E2192">
        <v>1091.7</v>
      </c>
      <c r="F2192" s="1">
        <v>45737</v>
      </c>
      <c r="G2192" s="1">
        <v>45742</v>
      </c>
      <c r="H2192" t="s">
        <v>8</v>
      </c>
      <c r="I2192" t="s">
        <v>3</v>
      </c>
      <c r="J2192">
        <v>4</v>
      </c>
      <c r="K2192" t="s">
        <v>4</v>
      </c>
      <c r="L2192" t="s">
        <v>40</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2279</v>
      </c>
      <c r="B2193" t="s">
        <v>24</v>
      </c>
      <c r="C2193">
        <v>2</v>
      </c>
      <c r="D2193">
        <v>46.9</v>
      </c>
      <c r="E2193">
        <v>93.8</v>
      </c>
      <c r="F2193" s="1">
        <v>45737</v>
      </c>
      <c r="G2193" s="1">
        <v>45744</v>
      </c>
      <c r="H2193" t="s">
        <v>8</v>
      </c>
      <c r="I2193" t="s">
        <v>3</v>
      </c>
      <c r="J2193">
        <v>4</v>
      </c>
      <c r="K2193" t="s">
        <v>4</v>
      </c>
      <c r="L2193" t="s">
        <v>47</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2280</v>
      </c>
      <c r="B2194" t="s">
        <v>39</v>
      </c>
      <c r="C2194">
        <v>1</v>
      </c>
      <c r="D2194">
        <v>55.3</v>
      </c>
      <c r="E2194">
        <v>55.3</v>
      </c>
      <c r="F2194" s="1">
        <v>45737</v>
      </c>
      <c r="G2194" s="1">
        <v>45739</v>
      </c>
      <c r="H2194" t="s">
        <v>8</v>
      </c>
      <c r="I2194" t="s">
        <v>3</v>
      </c>
      <c r="J2194">
        <v>4</v>
      </c>
      <c r="K2194" t="s">
        <v>4</v>
      </c>
      <c r="L2194" t="s">
        <v>47</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2281</v>
      </c>
      <c r="B2195" t="s">
        <v>11</v>
      </c>
      <c r="C2195">
        <v>3</v>
      </c>
      <c r="D2195">
        <v>70.599999999999994</v>
      </c>
      <c r="E2195">
        <v>211.79999999999998</v>
      </c>
      <c r="F2195" s="1">
        <v>45738</v>
      </c>
      <c r="G2195" s="1">
        <v>45738</v>
      </c>
      <c r="H2195" t="s">
        <v>12</v>
      </c>
      <c r="I2195" t="s">
        <v>3</v>
      </c>
      <c r="J2195">
        <v>3</v>
      </c>
      <c r="K2195" t="s">
        <v>4</v>
      </c>
      <c r="L2195" t="s">
        <v>47</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2282</v>
      </c>
      <c r="B2196" t="s">
        <v>66</v>
      </c>
      <c r="C2196">
        <v>4</v>
      </c>
      <c r="D2196">
        <v>26.1</v>
      </c>
      <c r="E2196">
        <v>104.4</v>
      </c>
      <c r="F2196" s="1">
        <v>45738</v>
      </c>
      <c r="G2196" s="1">
        <v>45740</v>
      </c>
      <c r="H2196" t="s">
        <v>8</v>
      </c>
      <c r="I2196" t="s">
        <v>3</v>
      </c>
      <c r="J2196">
        <v>4</v>
      </c>
      <c r="K2196" t="s">
        <v>4</v>
      </c>
      <c r="L2196" t="s">
        <v>47</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2283</v>
      </c>
      <c r="B2197" t="s">
        <v>31</v>
      </c>
      <c r="C2197">
        <v>11</v>
      </c>
      <c r="D2197">
        <v>34.5</v>
      </c>
      <c r="E2197">
        <v>379.5</v>
      </c>
      <c r="F2197" s="1">
        <v>45738</v>
      </c>
      <c r="G2197" s="1">
        <v>45742</v>
      </c>
      <c r="H2197" t="s">
        <v>8</v>
      </c>
      <c r="I2197" t="s">
        <v>25</v>
      </c>
      <c r="J2197">
        <v>4</v>
      </c>
      <c r="K2197" t="s">
        <v>4</v>
      </c>
      <c r="L2197" t="s">
        <v>88</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2284</v>
      </c>
      <c r="B2198" t="s">
        <v>7</v>
      </c>
      <c r="C2198">
        <v>2</v>
      </c>
      <c r="D2198">
        <v>64.2</v>
      </c>
      <c r="E2198">
        <v>128.4</v>
      </c>
      <c r="F2198" s="1">
        <v>45738</v>
      </c>
      <c r="G2198" s="1">
        <v>45739</v>
      </c>
      <c r="H2198" t="s">
        <v>12</v>
      </c>
      <c r="I2198" t="s">
        <v>3</v>
      </c>
      <c r="J2198">
        <v>3</v>
      </c>
      <c r="K2198" t="s">
        <v>4</v>
      </c>
      <c r="L2198" t="s">
        <v>88</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2285</v>
      </c>
      <c r="B2199" t="s">
        <v>11</v>
      </c>
      <c r="C2199">
        <v>4</v>
      </c>
      <c r="D2199">
        <v>145.69999999999999</v>
      </c>
      <c r="E2199">
        <v>582.79999999999995</v>
      </c>
      <c r="F2199" s="1">
        <v>45738</v>
      </c>
      <c r="G2199" s="1">
        <v>45739</v>
      </c>
      <c r="H2199" t="s">
        <v>12</v>
      </c>
      <c r="I2199" t="s">
        <v>3</v>
      </c>
      <c r="J2199">
        <v>2</v>
      </c>
      <c r="K2199" t="s">
        <v>4</v>
      </c>
      <c r="L2199" t="s">
        <v>88</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2286</v>
      </c>
      <c r="B2200" t="s">
        <v>54</v>
      </c>
      <c r="C2200">
        <v>2</v>
      </c>
      <c r="D2200">
        <v>78.5</v>
      </c>
      <c r="E2200">
        <v>157</v>
      </c>
      <c r="F2200" s="1">
        <v>45738</v>
      </c>
      <c r="G2200" s="1">
        <v>45739</v>
      </c>
      <c r="H2200" t="s">
        <v>8</v>
      </c>
      <c r="I2200" t="s">
        <v>25</v>
      </c>
      <c r="J2200">
        <v>4</v>
      </c>
      <c r="K2200" t="s">
        <v>4</v>
      </c>
      <c r="L2200" t="s">
        <v>186</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2287</v>
      </c>
      <c r="B2201" t="s">
        <v>7</v>
      </c>
      <c r="C2201">
        <v>1</v>
      </c>
      <c r="D2201">
        <v>34.200000000000003</v>
      </c>
      <c r="E2201">
        <v>34.200000000000003</v>
      </c>
      <c r="F2201" s="1">
        <v>45738</v>
      </c>
      <c r="G2201" s="1">
        <v>45740</v>
      </c>
      <c r="H2201" t="s">
        <v>8</v>
      </c>
      <c r="I2201" t="s">
        <v>3</v>
      </c>
      <c r="J2201">
        <v>4</v>
      </c>
      <c r="K2201" t="s">
        <v>4</v>
      </c>
      <c r="L2201" t="s">
        <v>57</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2288</v>
      </c>
      <c r="B2202" t="s">
        <v>156</v>
      </c>
      <c r="C2202">
        <v>1</v>
      </c>
      <c r="D2202">
        <v>26.2</v>
      </c>
      <c r="E2202">
        <v>26.2</v>
      </c>
      <c r="F2202" s="1">
        <v>45738</v>
      </c>
      <c r="G2202" s="1">
        <v>45739</v>
      </c>
      <c r="H2202" t="s">
        <v>8</v>
      </c>
      <c r="I2202" t="s">
        <v>25</v>
      </c>
      <c r="J2202">
        <v>4</v>
      </c>
      <c r="K2202" t="s">
        <v>4</v>
      </c>
      <c r="L2202" t="s">
        <v>57</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2289</v>
      </c>
      <c r="B2203" t="s">
        <v>24</v>
      </c>
      <c r="C2203">
        <v>4</v>
      </c>
      <c r="D2203">
        <v>53.2</v>
      </c>
      <c r="E2203">
        <v>212.8</v>
      </c>
      <c r="F2203" s="1">
        <v>45738</v>
      </c>
      <c r="G2203" s="1">
        <v>45739</v>
      </c>
      <c r="H2203" t="s">
        <v>8</v>
      </c>
      <c r="I2203" t="s">
        <v>20</v>
      </c>
      <c r="J2203">
        <v>3</v>
      </c>
      <c r="K2203" t="s">
        <v>4</v>
      </c>
      <c r="L2203" t="s">
        <v>62</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2290</v>
      </c>
      <c r="B2204" t="s">
        <v>7</v>
      </c>
      <c r="C2204">
        <v>1</v>
      </c>
      <c r="D2204">
        <v>35.4</v>
      </c>
      <c r="E2204">
        <v>35.4</v>
      </c>
      <c r="F2204" s="1">
        <v>45738</v>
      </c>
      <c r="G2204" s="1">
        <v>45742</v>
      </c>
      <c r="H2204" t="s">
        <v>8</v>
      </c>
      <c r="I2204" t="s">
        <v>20</v>
      </c>
      <c r="J2204">
        <v>2</v>
      </c>
      <c r="K2204" t="s">
        <v>4</v>
      </c>
      <c r="L2204" t="s">
        <v>93</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2291</v>
      </c>
      <c r="B2205" t="s">
        <v>66</v>
      </c>
      <c r="C2205">
        <v>2</v>
      </c>
      <c r="D2205">
        <v>21.3</v>
      </c>
      <c r="E2205">
        <v>42.6</v>
      </c>
      <c r="F2205" s="1">
        <v>45738</v>
      </c>
      <c r="G2205" s="1">
        <v>45739</v>
      </c>
      <c r="H2205" t="s">
        <v>8</v>
      </c>
      <c r="I2205" t="s">
        <v>25</v>
      </c>
      <c r="J2205">
        <v>4</v>
      </c>
      <c r="K2205" t="s">
        <v>4</v>
      </c>
      <c r="L2205" t="s">
        <v>98</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2292</v>
      </c>
      <c r="B2206" t="s">
        <v>29</v>
      </c>
      <c r="C2206">
        <v>4</v>
      </c>
      <c r="D2206">
        <v>32.9</v>
      </c>
      <c r="E2206">
        <v>131.6</v>
      </c>
      <c r="F2206" s="1">
        <v>45738</v>
      </c>
      <c r="G2206" s="1">
        <v>45741</v>
      </c>
      <c r="H2206" t="s">
        <v>12</v>
      </c>
      <c r="I2206" t="s">
        <v>55</v>
      </c>
      <c r="J2206">
        <v>5</v>
      </c>
      <c r="K2206" t="s">
        <v>4</v>
      </c>
      <c r="L2206" t="s">
        <v>100</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2293</v>
      </c>
      <c r="B2207" t="s">
        <v>22</v>
      </c>
      <c r="C2207">
        <v>15</v>
      </c>
      <c r="D2207">
        <v>85.5</v>
      </c>
      <c r="E2207">
        <v>1282.5</v>
      </c>
      <c r="F2207" s="1">
        <v>45738</v>
      </c>
      <c r="G2207" s="1">
        <v>45740</v>
      </c>
      <c r="H2207" t="s">
        <v>12</v>
      </c>
      <c r="I2207" t="s">
        <v>36</v>
      </c>
      <c r="J2207">
        <v>3</v>
      </c>
      <c r="K2207" t="s">
        <v>4</v>
      </c>
      <c r="L2207" t="s">
        <v>100</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2294</v>
      </c>
      <c r="B2208" t="s">
        <v>17</v>
      </c>
      <c r="C2208">
        <v>1</v>
      </c>
      <c r="D2208">
        <v>26.8</v>
      </c>
      <c r="E2208">
        <v>26.8</v>
      </c>
      <c r="F2208" s="1">
        <v>45738</v>
      </c>
      <c r="G2208" s="1">
        <v>45739</v>
      </c>
      <c r="H2208" t="s">
        <v>12</v>
      </c>
      <c r="I2208" t="s">
        <v>3</v>
      </c>
      <c r="J2208">
        <v>3</v>
      </c>
      <c r="K2208" t="s">
        <v>4</v>
      </c>
      <c r="L2208" t="s">
        <v>13</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2295</v>
      </c>
      <c r="B2209" t="s">
        <v>31</v>
      </c>
      <c r="C2209">
        <v>26</v>
      </c>
      <c r="D2209">
        <v>31.7</v>
      </c>
      <c r="E2209">
        <v>824.19999999999993</v>
      </c>
      <c r="F2209" s="1">
        <v>45738</v>
      </c>
      <c r="G2209" s="1">
        <v>45738</v>
      </c>
      <c r="H2209" t="s">
        <v>12</v>
      </c>
      <c r="I2209" t="s">
        <v>36</v>
      </c>
      <c r="J2209">
        <v>4</v>
      </c>
      <c r="K2209" t="s">
        <v>4</v>
      </c>
      <c r="L2209" t="s">
        <v>13</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2296</v>
      </c>
      <c r="B2210" t="s">
        <v>7</v>
      </c>
      <c r="C2210">
        <v>2</v>
      </c>
      <c r="D2210">
        <v>78.3</v>
      </c>
      <c r="E2210">
        <v>156.6</v>
      </c>
      <c r="F2210" s="1">
        <v>45738</v>
      </c>
      <c r="G2210" s="1">
        <v>45740</v>
      </c>
      <c r="H2210" t="s">
        <v>12</v>
      </c>
      <c r="I2210" t="s">
        <v>20</v>
      </c>
      <c r="J2210">
        <v>3</v>
      </c>
      <c r="K2210" t="s">
        <v>4</v>
      </c>
      <c r="L2210" t="s">
        <v>18</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2297</v>
      </c>
      <c r="B2211" t="s">
        <v>24</v>
      </c>
      <c r="C2211">
        <v>1</v>
      </c>
      <c r="D2211">
        <v>43.9</v>
      </c>
      <c r="E2211">
        <v>43.9</v>
      </c>
      <c r="F2211" s="1">
        <v>45738</v>
      </c>
      <c r="G2211" s="1">
        <v>45739</v>
      </c>
      <c r="H2211" t="s">
        <v>8</v>
      </c>
      <c r="I2211" t="s">
        <v>3</v>
      </c>
      <c r="J2211">
        <v>4</v>
      </c>
      <c r="K2211" t="s">
        <v>4</v>
      </c>
      <c r="L2211" t="s">
        <v>18</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2298</v>
      </c>
      <c r="B2212" t="s">
        <v>131</v>
      </c>
      <c r="C2212">
        <v>3</v>
      </c>
      <c r="D2212">
        <v>84</v>
      </c>
      <c r="E2212">
        <v>252</v>
      </c>
      <c r="F2212" s="1">
        <v>45738</v>
      </c>
      <c r="G2212" s="1">
        <v>45740</v>
      </c>
      <c r="H2212" t="s">
        <v>2</v>
      </c>
      <c r="I2212" t="s">
        <v>36</v>
      </c>
      <c r="J2212">
        <v>5</v>
      </c>
      <c r="K2212" t="s">
        <v>4</v>
      </c>
      <c r="L2212" t="s">
        <v>18</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2299</v>
      </c>
      <c r="B2213" t="s">
        <v>1</v>
      </c>
      <c r="C2213">
        <v>3</v>
      </c>
      <c r="D2213">
        <v>11.4</v>
      </c>
      <c r="E2213">
        <v>34.200000000000003</v>
      </c>
      <c r="F2213" s="1">
        <v>45738</v>
      </c>
      <c r="G2213" s="1">
        <v>45739</v>
      </c>
      <c r="H2213" t="s">
        <v>8</v>
      </c>
      <c r="I2213" t="s">
        <v>55</v>
      </c>
      <c r="J2213">
        <v>4</v>
      </c>
      <c r="K2213" t="s">
        <v>4</v>
      </c>
      <c r="L2213" t="s">
        <v>18</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2300</v>
      </c>
      <c r="B2214" t="s">
        <v>54</v>
      </c>
      <c r="C2214">
        <v>8</v>
      </c>
      <c r="D2214">
        <v>47.5</v>
      </c>
      <c r="E2214">
        <v>380</v>
      </c>
      <c r="F2214" s="1">
        <v>45738</v>
      </c>
      <c r="G2214" s="1">
        <v>45746</v>
      </c>
      <c r="H2214" t="s">
        <v>12</v>
      </c>
      <c r="I2214" t="s">
        <v>3</v>
      </c>
      <c r="J2214">
        <v>4</v>
      </c>
      <c r="K2214" t="s">
        <v>4</v>
      </c>
      <c r="L2214" t="s">
        <v>18</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2301</v>
      </c>
      <c r="B2215" t="s">
        <v>31</v>
      </c>
      <c r="C2215">
        <v>11</v>
      </c>
      <c r="D2215">
        <v>50.5</v>
      </c>
      <c r="E2215">
        <v>555.5</v>
      </c>
      <c r="F2215" s="1">
        <v>45738</v>
      </c>
      <c r="G2215" s="1">
        <v>45740</v>
      </c>
      <c r="H2215" t="s">
        <v>8</v>
      </c>
      <c r="I2215" t="s">
        <v>25</v>
      </c>
      <c r="J2215">
        <v>4</v>
      </c>
      <c r="K2215" t="s">
        <v>4</v>
      </c>
      <c r="L2215" t="s">
        <v>18</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2302</v>
      </c>
      <c r="B2216" t="s">
        <v>108</v>
      </c>
      <c r="C2216">
        <v>1</v>
      </c>
      <c r="D2216">
        <v>36.299999999999997</v>
      </c>
      <c r="E2216">
        <v>36.299999999999997</v>
      </c>
      <c r="F2216" s="1">
        <v>45738</v>
      </c>
      <c r="G2216" s="1">
        <v>45741</v>
      </c>
      <c r="H2216" t="s">
        <v>74</v>
      </c>
      <c r="I2216" t="s">
        <v>3</v>
      </c>
      <c r="J2216">
        <v>3</v>
      </c>
      <c r="K2216" t="s">
        <v>4</v>
      </c>
      <c r="L2216" t="s">
        <v>47</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2303</v>
      </c>
      <c r="B2217" t="s">
        <v>29</v>
      </c>
      <c r="C2217">
        <v>2</v>
      </c>
      <c r="D2217">
        <v>35.4</v>
      </c>
      <c r="E2217">
        <v>70.8</v>
      </c>
      <c r="F2217" s="1">
        <v>45738</v>
      </c>
      <c r="G2217" s="1">
        <v>45739</v>
      </c>
      <c r="H2217" t="s">
        <v>12</v>
      </c>
      <c r="I2217" t="s">
        <v>3</v>
      </c>
      <c r="J2217">
        <v>4</v>
      </c>
      <c r="K2217" t="s">
        <v>4</v>
      </c>
      <c r="L2217" t="s">
        <v>88</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2304</v>
      </c>
      <c r="B2218" t="s">
        <v>7</v>
      </c>
      <c r="C2218">
        <v>3</v>
      </c>
      <c r="D2218">
        <v>45.9</v>
      </c>
      <c r="E2218">
        <v>137.69999999999999</v>
      </c>
      <c r="F2218" s="1">
        <v>45739</v>
      </c>
      <c r="G2218" s="1">
        <v>45740</v>
      </c>
      <c r="H2218" t="s">
        <v>8</v>
      </c>
      <c r="I2218" t="s">
        <v>36</v>
      </c>
      <c r="J2218">
        <v>4</v>
      </c>
      <c r="K2218" t="s">
        <v>4</v>
      </c>
      <c r="L2218" t="s">
        <v>57</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2305</v>
      </c>
      <c r="B2219" t="s">
        <v>24</v>
      </c>
      <c r="C2219">
        <v>10</v>
      </c>
      <c r="D2219">
        <v>41.2</v>
      </c>
      <c r="E2219">
        <v>412</v>
      </c>
      <c r="F2219" s="1">
        <v>45739</v>
      </c>
      <c r="G2219" s="1">
        <v>45743</v>
      </c>
      <c r="H2219" t="s">
        <v>8</v>
      </c>
      <c r="I2219" t="s">
        <v>3</v>
      </c>
      <c r="J2219">
        <v>4</v>
      </c>
      <c r="K2219" t="s">
        <v>4</v>
      </c>
      <c r="L2219" t="s">
        <v>62</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2306</v>
      </c>
      <c r="B2220" t="s">
        <v>120</v>
      </c>
      <c r="C2220">
        <v>2</v>
      </c>
      <c r="D2220">
        <v>45.1</v>
      </c>
      <c r="E2220">
        <v>90.2</v>
      </c>
      <c r="F2220" s="1">
        <v>45739</v>
      </c>
      <c r="G2220" s="1">
        <v>45740</v>
      </c>
      <c r="H2220" t="s">
        <v>8</v>
      </c>
      <c r="I2220" t="s">
        <v>20</v>
      </c>
      <c r="J2220">
        <v>3</v>
      </c>
      <c r="K2220" t="s">
        <v>4</v>
      </c>
      <c r="L2220" t="s">
        <v>100</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2307</v>
      </c>
      <c r="B2221" t="s">
        <v>24</v>
      </c>
      <c r="C2221">
        <v>10</v>
      </c>
      <c r="D2221">
        <v>63.6</v>
      </c>
      <c r="E2221">
        <v>636</v>
      </c>
      <c r="F2221" s="1">
        <v>45739</v>
      </c>
      <c r="G2221" s="1">
        <v>45739</v>
      </c>
      <c r="H2221" t="s">
        <v>8</v>
      </c>
      <c r="I2221" t="s">
        <v>25</v>
      </c>
      <c r="J2221">
        <v>4</v>
      </c>
      <c r="K2221" t="s">
        <v>4</v>
      </c>
      <c r="L2221" t="s">
        <v>9</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2308</v>
      </c>
      <c r="B2222" t="s">
        <v>29</v>
      </c>
      <c r="C2222">
        <v>1</v>
      </c>
      <c r="D2222">
        <v>70.5</v>
      </c>
      <c r="E2222">
        <v>70.5</v>
      </c>
      <c r="F2222" s="1">
        <v>45739</v>
      </c>
      <c r="G2222" s="1">
        <v>45740</v>
      </c>
      <c r="H2222" t="s">
        <v>8</v>
      </c>
      <c r="I2222" t="s">
        <v>3</v>
      </c>
      <c r="J2222">
        <v>4</v>
      </c>
      <c r="K2222" t="s">
        <v>4</v>
      </c>
      <c r="L2222" t="s">
        <v>18</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2309</v>
      </c>
      <c r="B2223" t="s">
        <v>24</v>
      </c>
      <c r="C2223">
        <v>1</v>
      </c>
      <c r="D2223">
        <v>41.3</v>
      </c>
      <c r="E2223">
        <v>41.3</v>
      </c>
      <c r="F2223" s="1">
        <v>45739</v>
      </c>
      <c r="G2223" s="1">
        <v>45739</v>
      </c>
      <c r="H2223" t="s">
        <v>8</v>
      </c>
      <c r="I2223" t="s">
        <v>55</v>
      </c>
      <c r="J2223">
        <v>4</v>
      </c>
      <c r="K2223" t="s">
        <v>4</v>
      </c>
      <c r="L2223" t="s">
        <v>18</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2310</v>
      </c>
      <c r="B2224" t="s">
        <v>17</v>
      </c>
      <c r="C2224">
        <v>1</v>
      </c>
      <c r="D2224">
        <v>35.299999999999997</v>
      </c>
      <c r="E2224">
        <v>35.299999999999997</v>
      </c>
      <c r="F2224" s="1">
        <v>45739</v>
      </c>
      <c r="G2224" s="1">
        <v>45742</v>
      </c>
      <c r="H2224" t="s">
        <v>12</v>
      </c>
      <c r="I2224" t="s">
        <v>55</v>
      </c>
      <c r="J2224">
        <v>5</v>
      </c>
      <c r="K2224" t="s">
        <v>4</v>
      </c>
      <c r="L2224" t="s">
        <v>18</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2311</v>
      </c>
      <c r="B2225" t="s">
        <v>29</v>
      </c>
      <c r="C2225">
        <v>5</v>
      </c>
      <c r="D2225">
        <v>34.700000000000003</v>
      </c>
      <c r="E2225">
        <v>173.5</v>
      </c>
      <c r="F2225" s="1">
        <v>45739</v>
      </c>
      <c r="G2225" s="1">
        <v>45740</v>
      </c>
      <c r="H2225" t="s">
        <v>12</v>
      </c>
      <c r="I2225" t="s">
        <v>3</v>
      </c>
      <c r="J2225">
        <v>5</v>
      </c>
      <c r="K2225" t="s">
        <v>4</v>
      </c>
      <c r="L2225" t="s">
        <v>18</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2312</v>
      </c>
      <c r="B2226" t="s">
        <v>29</v>
      </c>
      <c r="C2226">
        <v>3</v>
      </c>
      <c r="D2226">
        <v>26.1</v>
      </c>
      <c r="E2226">
        <v>78.300000000000011</v>
      </c>
      <c r="F2226" s="1">
        <v>45739</v>
      </c>
      <c r="G2226" s="1">
        <v>45740</v>
      </c>
      <c r="H2226" t="s">
        <v>12</v>
      </c>
      <c r="I2226" t="s">
        <v>3</v>
      </c>
      <c r="J2226">
        <v>4</v>
      </c>
      <c r="K2226" t="s">
        <v>4</v>
      </c>
      <c r="L2226" t="s">
        <v>18</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2313</v>
      </c>
      <c r="B2227" t="s">
        <v>31</v>
      </c>
      <c r="C2227">
        <v>5</v>
      </c>
      <c r="D2227">
        <v>22.6</v>
      </c>
      <c r="E2227">
        <v>113</v>
      </c>
      <c r="F2227" s="1">
        <v>45739</v>
      </c>
      <c r="G2227" s="1">
        <v>45739</v>
      </c>
      <c r="H2227" t="s">
        <v>12</v>
      </c>
      <c r="I2227" t="s">
        <v>20</v>
      </c>
      <c r="J2227">
        <v>5</v>
      </c>
      <c r="K2227" t="s">
        <v>4</v>
      </c>
      <c r="L2227" t="s">
        <v>18</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2314</v>
      </c>
      <c r="B2228" t="s">
        <v>11</v>
      </c>
      <c r="C2228">
        <v>2</v>
      </c>
      <c r="D2228">
        <v>154.4</v>
      </c>
      <c r="E2228">
        <v>308.8</v>
      </c>
      <c r="F2228" s="1">
        <v>45739</v>
      </c>
      <c r="G2228" s="1">
        <v>45742</v>
      </c>
      <c r="H2228" t="s">
        <v>8</v>
      </c>
      <c r="I2228" t="s">
        <v>20</v>
      </c>
      <c r="J2228">
        <v>3</v>
      </c>
      <c r="K2228" t="s">
        <v>4</v>
      </c>
      <c r="L2228" t="s">
        <v>18</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2315</v>
      </c>
      <c r="B2229" t="s">
        <v>29</v>
      </c>
      <c r="C2229">
        <v>2</v>
      </c>
      <c r="D2229">
        <v>18.399999999999999</v>
      </c>
      <c r="E2229">
        <v>36.799999999999997</v>
      </c>
      <c r="F2229" s="1">
        <v>45739</v>
      </c>
      <c r="G2229" s="1">
        <v>45740</v>
      </c>
      <c r="H2229" t="s">
        <v>8</v>
      </c>
      <c r="I2229" t="s">
        <v>3</v>
      </c>
      <c r="J2229">
        <v>4</v>
      </c>
      <c r="K2229" t="s">
        <v>4</v>
      </c>
      <c r="L2229" t="s">
        <v>18</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2316</v>
      </c>
      <c r="B2230" t="s">
        <v>66</v>
      </c>
      <c r="C2230">
        <v>1</v>
      </c>
      <c r="D2230">
        <v>25</v>
      </c>
      <c r="E2230">
        <v>25</v>
      </c>
      <c r="F2230" s="1">
        <v>45739</v>
      </c>
      <c r="G2230" s="1">
        <v>45742</v>
      </c>
      <c r="H2230" t="s">
        <v>12</v>
      </c>
      <c r="I2230" t="s">
        <v>3</v>
      </c>
      <c r="J2230">
        <v>4</v>
      </c>
      <c r="K2230" t="s">
        <v>4</v>
      </c>
      <c r="L2230" t="s">
        <v>18</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2317</v>
      </c>
      <c r="B2231" t="s">
        <v>11</v>
      </c>
      <c r="C2231">
        <v>6</v>
      </c>
      <c r="D2231">
        <v>105.6</v>
      </c>
      <c r="E2231">
        <v>633.59999999999991</v>
      </c>
      <c r="F2231" s="1">
        <v>45739</v>
      </c>
      <c r="G2231" s="1">
        <v>45739</v>
      </c>
      <c r="H2231" t="s">
        <v>12</v>
      </c>
      <c r="I2231" t="s">
        <v>3</v>
      </c>
      <c r="J2231">
        <v>4</v>
      </c>
      <c r="K2231" t="s">
        <v>4</v>
      </c>
      <c r="L2231" t="s">
        <v>18</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2318</v>
      </c>
      <c r="B2232" t="s">
        <v>131</v>
      </c>
      <c r="C2232">
        <v>8</v>
      </c>
      <c r="D2232">
        <v>59.6</v>
      </c>
      <c r="E2232">
        <v>476.8</v>
      </c>
      <c r="F2232" s="1">
        <v>45739</v>
      </c>
      <c r="G2232" s="1">
        <v>45739</v>
      </c>
      <c r="H2232" t="s">
        <v>12</v>
      </c>
      <c r="I2232" t="s">
        <v>3</v>
      </c>
      <c r="J2232">
        <v>5</v>
      </c>
      <c r="K2232" t="s">
        <v>4</v>
      </c>
      <c r="L2232" t="s">
        <v>143</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2319</v>
      </c>
      <c r="B2233" t="s">
        <v>108</v>
      </c>
      <c r="C2233">
        <v>3</v>
      </c>
      <c r="D2233">
        <v>75.400000000000006</v>
      </c>
      <c r="E2233">
        <v>226.20000000000002</v>
      </c>
      <c r="F2233" s="1">
        <v>45739</v>
      </c>
      <c r="G2233" s="1">
        <v>45744</v>
      </c>
      <c r="H2233" t="s">
        <v>8</v>
      </c>
      <c r="I2233" t="s">
        <v>3</v>
      </c>
      <c r="J2233">
        <v>3</v>
      </c>
      <c r="K2233" t="s">
        <v>4</v>
      </c>
      <c r="L2233" t="s">
        <v>44</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2320</v>
      </c>
      <c r="B2234" t="s">
        <v>27</v>
      </c>
      <c r="C2234">
        <v>1</v>
      </c>
      <c r="D2234">
        <v>104.4</v>
      </c>
      <c r="E2234">
        <v>104.4</v>
      </c>
      <c r="F2234" s="1">
        <v>45739</v>
      </c>
      <c r="G2234" s="1">
        <v>45740</v>
      </c>
      <c r="H2234" t="s">
        <v>12</v>
      </c>
      <c r="I2234" t="s">
        <v>3</v>
      </c>
      <c r="J2234">
        <v>4</v>
      </c>
      <c r="K2234" t="s">
        <v>4</v>
      </c>
      <c r="L2234" t="s">
        <v>47</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2321</v>
      </c>
      <c r="B2235" t="s">
        <v>11</v>
      </c>
      <c r="C2235">
        <v>10</v>
      </c>
      <c r="D2235">
        <v>208.2</v>
      </c>
      <c r="E2235">
        <v>2082</v>
      </c>
      <c r="F2235" s="1">
        <v>45739</v>
      </c>
      <c r="G2235" s="1">
        <v>45740</v>
      </c>
      <c r="H2235" t="s">
        <v>8</v>
      </c>
      <c r="I2235" t="s">
        <v>3</v>
      </c>
      <c r="J2235">
        <v>5</v>
      </c>
      <c r="K2235" t="s">
        <v>4</v>
      </c>
      <c r="L2235" t="s">
        <v>47</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2322</v>
      </c>
      <c r="B2236" t="s">
        <v>24</v>
      </c>
      <c r="C2236">
        <v>2</v>
      </c>
      <c r="D2236">
        <v>45</v>
      </c>
      <c r="E2236">
        <v>90</v>
      </c>
      <c r="F2236" s="1">
        <v>45739</v>
      </c>
      <c r="G2236" s="1">
        <v>45742</v>
      </c>
      <c r="H2236" t="s">
        <v>12</v>
      </c>
      <c r="I2236" t="s">
        <v>3</v>
      </c>
      <c r="J2236">
        <v>4</v>
      </c>
      <c r="K2236" t="s">
        <v>4</v>
      </c>
      <c r="L2236" t="s">
        <v>59</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2323</v>
      </c>
      <c r="B2237" t="s">
        <v>108</v>
      </c>
      <c r="C2237">
        <v>2</v>
      </c>
      <c r="D2237">
        <v>20.3</v>
      </c>
      <c r="E2237">
        <v>40.6</v>
      </c>
      <c r="F2237" s="1">
        <v>45740</v>
      </c>
      <c r="G2237" s="1">
        <v>45742</v>
      </c>
      <c r="H2237" t="s">
        <v>2</v>
      </c>
      <c r="I2237" t="s">
        <v>20</v>
      </c>
      <c r="J2237">
        <v>4</v>
      </c>
      <c r="K2237" t="s">
        <v>4</v>
      </c>
      <c r="L2237" t="s">
        <v>62</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2324</v>
      </c>
      <c r="B2238" t="s">
        <v>11</v>
      </c>
      <c r="C2238">
        <v>3</v>
      </c>
      <c r="D2238">
        <v>94.4</v>
      </c>
      <c r="E2238">
        <v>283.20000000000005</v>
      </c>
      <c r="F2238" s="1">
        <v>45740</v>
      </c>
      <c r="G2238" s="1">
        <v>45741</v>
      </c>
      <c r="H2238" t="s">
        <v>12</v>
      </c>
      <c r="I2238" t="s">
        <v>3</v>
      </c>
      <c r="J2238">
        <v>5</v>
      </c>
      <c r="K2238" t="s">
        <v>4</v>
      </c>
      <c r="L2238" t="s">
        <v>62</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2325</v>
      </c>
      <c r="B2239" t="s">
        <v>31</v>
      </c>
      <c r="C2239">
        <v>1</v>
      </c>
      <c r="D2239">
        <v>49</v>
      </c>
      <c r="E2239">
        <v>49</v>
      </c>
      <c r="F2239" s="1">
        <v>45740</v>
      </c>
      <c r="G2239" s="1">
        <v>45742</v>
      </c>
      <c r="H2239" t="s">
        <v>12</v>
      </c>
      <c r="I2239" t="s">
        <v>3</v>
      </c>
      <c r="J2239">
        <v>5</v>
      </c>
      <c r="K2239" t="s">
        <v>4</v>
      </c>
      <c r="L2239" t="s">
        <v>98</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2326</v>
      </c>
      <c r="B2240" t="s">
        <v>17</v>
      </c>
      <c r="C2240">
        <v>2</v>
      </c>
      <c r="D2240">
        <v>27.2</v>
      </c>
      <c r="E2240">
        <v>54.4</v>
      </c>
      <c r="F2240" s="1">
        <v>45740</v>
      </c>
      <c r="G2240" s="1">
        <v>45742</v>
      </c>
      <c r="H2240" t="s">
        <v>8</v>
      </c>
      <c r="I2240" t="s">
        <v>3</v>
      </c>
      <c r="J2240">
        <v>5</v>
      </c>
      <c r="K2240" t="s">
        <v>4</v>
      </c>
      <c r="L2240" t="s">
        <v>9</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2327</v>
      </c>
      <c r="B2241" t="s">
        <v>11</v>
      </c>
      <c r="C2241">
        <v>6</v>
      </c>
      <c r="D2241">
        <v>72.599999999999994</v>
      </c>
      <c r="E2241">
        <v>435.59999999999997</v>
      </c>
      <c r="F2241" s="1">
        <v>45740</v>
      </c>
      <c r="G2241" s="1">
        <v>45741</v>
      </c>
      <c r="H2241" t="s">
        <v>12</v>
      </c>
      <c r="I2241" t="s">
        <v>3</v>
      </c>
      <c r="J2241">
        <v>5</v>
      </c>
      <c r="K2241" t="s">
        <v>4</v>
      </c>
      <c r="L2241" t="s">
        <v>13</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2328</v>
      </c>
      <c r="B2242" t="s">
        <v>108</v>
      </c>
      <c r="C2242">
        <v>4</v>
      </c>
      <c r="D2242">
        <v>62.4</v>
      </c>
      <c r="E2242">
        <v>249.6</v>
      </c>
      <c r="F2242" s="1">
        <v>45740</v>
      </c>
      <c r="G2242" s="1">
        <v>45741</v>
      </c>
      <c r="H2242" t="s">
        <v>12</v>
      </c>
      <c r="I2242" t="s">
        <v>3</v>
      </c>
      <c r="J2242">
        <v>4</v>
      </c>
      <c r="K2242" t="s">
        <v>4</v>
      </c>
      <c r="L2242" t="s">
        <v>18</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2329</v>
      </c>
      <c r="B2243" t="s">
        <v>29</v>
      </c>
      <c r="C2243">
        <v>3</v>
      </c>
      <c r="D2243">
        <v>19.100000000000001</v>
      </c>
      <c r="E2243">
        <v>57.300000000000004</v>
      </c>
      <c r="F2243" s="1">
        <v>45740</v>
      </c>
      <c r="G2243" s="1">
        <v>45742</v>
      </c>
      <c r="H2243" t="s">
        <v>8</v>
      </c>
      <c r="I2243" t="s">
        <v>3</v>
      </c>
      <c r="J2243">
        <v>3</v>
      </c>
      <c r="K2243" t="s">
        <v>4</v>
      </c>
      <c r="L2243" t="s">
        <v>18</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2330</v>
      </c>
      <c r="B2244" t="s">
        <v>39</v>
      </c>
      <c r="C2244">
        <v>1</v>
      </c>
      <c r="D2244">
        <v>29.6</v>
      </c>
      <c r="E2244">
        <v>29.6</v>
      </c>
      <c r="F2244" s="1">
        <v>45740</v>
      </c>
      <c r="G2244" s="1">
        <v>45744</v>
      </c>
      <c r="H2244" t="s">
        <v>8</v>
      </c>
      <c r="I2244" t="s">
        <v>3</v>
      </c>
      <c r="J2244">
        <v>2</v>
      </c>
      <c r="K2244" t="s">
        <v>4</v>
      </c>
      <c r="L2244" t="s">
        <v>18</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2331</v>
      </c>
      <c r="B2245" t="s">
        <v>29</v>
      </c>
      <c r="C2245">
        <v>2</v>
      </c>
      <c r="D2245">
        <v>18.899999999999999</v>
      </c>
      <c r="E2245">
        <v>37.799999999999997</v>
      </c>
      <c r="F2245" s="1">
        <v>45740</v>
      </c>
      <c r="G2245" s="1">
        <v>45742</v>
      </c>
      <c r="H2245" t="s">
        <v>12</v>
      </c>
      <c r="I2245" t="s">
        <v>55</v>
      </c>
      <c r="J2245">
        <v>5</v>
      </c>
      <c r="K2245" t="s">
        <v>4</v>
      </c>
      <c r="L2245" t="s">
        <v>18</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2332</v>
      </c>
      <c r="B2246" t="s">
        <v>39</v>
      </c>
      <c r="C2246">
        <v>5</v>
      </c>
      <c r="D2246">
        <v>41.4</v>
      </c>
      <c r="E2246">
        <v>207</v>
      </c>
      <c r="F2246" s="1">
        <v>45740</v>
      </c>
      <c r="G2246" s="1">
        <v>45741</v>
      </c>
      <c r="H2246" t="s">
        <v>8</v>
      </c>
      <c r="I2246" t="s">
        <v>36</v>
      </c>
      <c r="J2246">
        <v>4</v>
      </c>
      <c r="K2246" t="s">
        <v>4</v>
      </c>
      <c r="L2246" t="s">
        <v>18</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2333</v>
      </c>
      <c r="B2247" t="s">
        <v>11</v>
      </c>
      <c r="C2247">
        <v>1</v>
      </c>
      <c r="D2247">
        <v>118.4</v>
      </c>
      <c r="E2247">
        <v>118.4</v>
      </c>
      <c r="F2247" s="1">
        <v>45740</v>
      </c>
      <c r="G2247" s="1">
        <v>45741</v>
      </c>
      <c r="H2247" t="s">
        <v>12</v>
      </c>
      <c r="I2247" t="s">
        <v>3</v>
      </c>
      <c r="J2247">
        <v>5</v>
      </c>
      <c r="K2247" t="s">
        <v>4</v>
      </c>
      <c r="L2247" t="s">
        <v>18</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2334</v>
      </c>
      <c r="B2248" t="s">
        <v>11</v>
      </c>
      <c r="C2248">
        <v>2</v>
      </c>
      <c r="D2248">
        <v>125.3</v>
      </c>
      <c r="E2248">
        <v>250.6</v>
      </c>
      <c r="F2248" s="1">
        <v>45740</v>
      </c>
      <c r="G2248" s="1">
        <v>45743</v>
      </c>
      <c r="H2248" t="s">
        <v>12</v>
      </c>
      <c r="I2248" t="s">
        <v>3</v>
      </c>
      <c r="J2248">
        <v>5</v>
      </c>
      <c r="K2248" t="s">
        <v>4</v>
      </c>
      <c r="L2248" t="s">
        <v>18</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2335</v>
      </c>
      <c r="B2249" t="s">
        <v>15</v>
      </c>
      <c r="C2249">
        <v>2</v>
      </c>
      <c r="D2249">
        <v>85.8</v>
      </c>
      <c r="E2249">
        <v>171.6</v>
      </c>
      <c r="F2249" s="1">
        <v>45740</v>
      </c>
      <c r="G2249" s="1">
        <v>45741</v>
      </c>
      <c r="H2249" t="s">
        <v>12</v>
      </c>
      <c r="I2249" t="s">
        <v>20</v>
      </c>
      <c r="J2249">
        <v>2</v>
      </c>
      <c r="K2249" t="s">
        <v>4</v>
      </c>
      <c r="L2249" t="s">
        <v>18</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2336</v>
      </c>
      <c r="B2250" t="s">
        <v>24</v>
      </c>
      <c r="C2250">
        <v>1</v>
      </c>
      <c r="D2250">
        <v>44.2</v>
      </c>
      <c r="E2250">
        <v>44.2</v>
      </c>
      <c r="F2250" s="1">
        <v>45740</v>
      </c>
      <c r="G2250" s="1">
        <v>45743</v>
      </c>
      <c r="H2250" t="s">
        <v>8</v>
      </c>
      <c r="I2250" t="s">
        <v>20</v>
      </c>
      <c r="J2250">
        <v>4</v>
      </c>
      <c r="K2250" t="s">
        <v>4</v>
      </c>
      <c r="L2250" t="s">
        <v>18</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2337</v>
      </c>
      <c r="B2251" t="s">
        <v>22</v>
      </c>
      <c r="C2251">
        <v>4</v>
      </c>
      <c r="D2251">
        <v>74.099999999999994</v>
      </c>
      <c r="E2251">
        <v>296.39999999999998</v>
      </c>
      <c r="F2251" s="1">
        <v>45740</v>
      </c>
      <c r="G2251" s="1">
        <v>45742</v>
      </c>
      <c r="H2251" t="s">
        <v>12</v>
      </c>
      <c r="I2251" t="s">
        <v>3</v>
      </c>
      <c r="J2251">
        <v>4</v>
      </c>
      <c r="K2251" t="s">
        <v>4</v>
      </c>
      <c r="L2251" t="s">
        <v>18</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2338</v>
      </c>
      <c r="B2252" t="s">
        <v>29</v>
      </c>
      <c r="C2252">
        <v>1</v>
      </c>
      <c r="D2252">
        <v>33.799999999999997</v>
      </c>
      <c r="E2252">
        <v>33.799999999999997</v>
      </c>
      <c r="F2252" s="1">
        <v>45740</v>
      </c>
      <c r="G2252" s="1">
        <v>45741</v>
      </c>
      <c r="H2252" t="s">
        <v>12</v>
      </c>
      <c r="I2252" t="s">
        <v>25</v>
      </c>
      <c r="J2252">
        <v>5</v>
      </c>
      <c r="K2252" t="s">
        <v>4</v>
      </c>
      <c r="L2252" t="s">
        <v>171</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2339</v>
      </c>
      <c r="B2253" t="s">
        <v>7</v>
      </c>
      <c r="C2253">
        <v>2</v>
      </c>
      <c r="D2253">
        <v>39.1</v>
      </c>
      <c r="E2253">
        <v>78.2</v>
      </c>
      <c r="F2253" s="1">
        <v>45740</v>
      </c>
      <c r="G2253" s="1">
        <v>45741</v>
      </c>
      <c r="H2253" t="s">
        <v>8</v>
      </c>
      <c r="I2253" t="s">
        <v>3</v>
      </c>
      <c r="J2253">
        <v>3</v>
      </c>
      <c r="K2253" t="s">
        <v>4</v>
      </c>
      <c r="L2253" t="s">
        <v>171</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2340</v>
      </c>
      <c r="B2254" t="s">
        <v>1</v>
      </c>
      <c r="C2254">
        <v>1</v>
      </c>
      <c r="D2254">
        <v>37.200000000000003</v>
      </c>
      <c r="E2254">
        <v>37.200000000000003</v>
      </c>
      <c r="F2254" s="1">
        <v>45740</v>
      </c>
      <c r="G2254" s="1">
        <v>45741</v>
      </c>
      <c r="H2254" t="s">
        <v>8</v>
      </c>
      <c r="I2254" t="s">
        <v>3</v>
      </c>
      <c r="J2254">
        <v>3</v>
      </c>
      <c r="K2254" t="s">
        <v>4</v>
      </c>
      <c r="L2254" t="s">
        <v>83</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2341</v>
      </c>
      <c r="B2255" t="s">
        <v>108</v>
      </c>
      <c r="C2255">
        <v>3</v>
      </c>
      <c r="D2255">
        <v>33.9</v>
      </c>
      <c r="E2255">
        <v>101.69999999999999</v>
      </c>
      <c r="F2255" s="1">
        <v>45740</v>
      </c>
      <c r="G2255" s="1">
        <v>45742</v>
      </c>
      <c r="H2255" t="s">
        <v>8</v>
      </c>
      <c r="I2255" t="s">
        <v>25</v>
      </c>
      <c r="J2255">
        <v>4</v>
      </c>
      <c r="K2255" t="s">
        <v>4</v>
      </c>
      <c r="L2255" t="s">
        <v>40</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2342</v>
      </c>
      <c r="B2256" t="s">
        <v>27</v>
      </c>
      <c r="C2256">
        <v>15</v>
      </c>
      <c r="D2256">
        <v>73.3</v>
      </c>
      <c r="E2256">
        <v>1099.5</v>
      </c>
      <c r="F2256" s="1">
        <v>45740</v>
      </c>
      <c r="G2256" s="1">
        <v>45743</v>
      </c>
      <c r="H2256" t="s">
        <v>12</v>
      </c>
      <c r="I2256" t="s">
        <v>25</v>
      </c>
      <c r="J2256">
        <v>3</v>
      </c>
      <c r="K2256" t="s">
        <v>4</v>
      </c>
      <c r="L2256" t="s">
        <v>47</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2343</v>
      </c>
      <c r="B2257" t="s">
        <v>29</v>
      </c>
      <c r="C2257">
        <v>4</v>
      </c>
      <c r="D2257">
        <v>35</v>
      </c>
      <c r="E2257">
        <v>140</v>
      </c>
      <c r="F2257" s="1">
        <v>45740</v>
      </c>
      <c r="G2257" s="1">
        <v>45742</v>
      </c>
      <c r="H2257" t="s">
        <v>12</v>
      </c>
      <c r="I2257" t="s">
        <v>20</v>
      </c>
      <c r="J2257">
        <v>4</v>
      </c>
      <c r="K2257" t="s">
        <v>4</v>
      </c>
      <c r="L2257" t="s">
        <v>47</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2344</v>
      </c>
      <c r="B2258" t="s">
        <v>1</v>
      </c>
      <c r="C2258">
        <v>3</v>
      </c>
      <c r="D2258">
        <v>22.2</v>
      </c>
      <c r="E2258">
        <v>66.599999999999994</v>
      </c>
      <c r="F2258" s="1">
        <v>45740</v>
      </c>
      <c r="G2258" s="1">
        <v>45741</v>
      </c>
      <c r="H2258" t="s">
        <v>8</v>
      </c>
      <c r="I2258" t="s">
        <v>20</v>
      </c>
      <c r="J2258">
        <v>4</v>
      </c>
      <c r="K2258" t="s">
        <v>4</v>
      </c>
      <c r="L2258" t="s">
        <v>88</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2345</v>
      </c>
      <c r="B2259" t="s">
        <v>39</v>
      </c>
      <c r="C2259">
        <v>1</v>
      </c>
      <c r="D2259">
        <v>32.4</v>
      </c>
      <c r="E2259">
        <v>32.4</v>
      </c>
      <c r="F2259" s="1">
        <v>45740</v>
      </c>
      <c r="G2259" s="1">
        <v>45741</v>
      </c>
      <c r="H2259" t="s">
        <v>12</v>
      </c>
      <c r="I2259" t="s">
        <v>3</v>
      </c>
      <c r="J2259">
        <v>4</v>
      </c>
      <c r="K2259" t="s">
        <v>4</v>
      </c>
      <c r="L2259" t="s">
        <v>62</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2346</v>
      </c>
      <c r="B2260" t="s">
        <v>22</v>
      </c>
      <c r="C2260">
        <v>3</v>
      </c>
      <c r="D2260">
        <v>88.4</v>
      </c>
      <c r="E2260">
        <v>265.20000000000005</v>
      </c>
      <c r="F2260" s="1">
        <v>45741</v>
      </c>
      <c r="G2260" s="1">
        <v>45743</v>
      </c>
      <c r="H2260" t="s">
        <v>12</v>
      </c>
      <c r="I2260" t="s">
        <v>20</v>
      </c>
      <c r="J2260">
        <v>3</v>
      </c>
      <c r="K2260" t="s">
        <v>4</v>
      </c>
      <c r="L2260" t="s">
        <v>62</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2347</v>
      </c>
      <c r="B2261" t="s">
        <v>22</v>
      </c>
      <c r="C2261">
        <v>16</v>
      </c>
      <c r="D2261">
        <v>30.5</v>
      </c>
      <c r="E2261">
        <v>488</v>
      </c>
      <c r="F2261" s="1">
        <v>45741</v>
      </c>
      <c r="G2261" s="1">
        <v>45742</v>
      </c>
      <c r="H2261" t="s">
        <v>12</v>
      </c>
      <c r="I2261" t="s">
        <v>25</v>
      </c>
      <c r="J2261">
        <v>4</v>
      </c>
      <c r="K2261" t="s">
        <v>4</v>
      </c>
      <c r="L2261" t="s">
        <v>62</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2348</v>
      </c>
      <c r="B2262" t="s">
        <v>7</v>
      </c>
      <c r="C2262">
        <v>6</v>
      </c>
      <c r="D2262">
        <v>38.1</v>
      </c>
      <c r="E2262">
        <v>228.60000000000002</v>
      </c>
      <c r="F2262" s="1">
        <v>45741</v>
      </c>
      <c r="G2262" s="1">
        <v>45743</v>
      </c>
      <c r="H2262" t="s">
        <v>12</v>
      </c>
      <c r="I2262" t="s">
        <v>3</v>
      </c>
      <c r="J2262">
        <v>3</v>
      </c>
      <c r="K2262" t="s">
        <v>4</v>
      </c>
      <c r="L2262" t="s">
        <v>62</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2349</v>
      </c>
      <c r="B2263" t="s">
        <v>39</v>
      </c>
      <c r="C2263">
        <v>5</v>
      </c>
      <c r="D2263">
        <v>37.6</v>
      </c>
      <c r="E2263">
        <v>188</v>
      </c>
      <c r="F2263" s="1">
        <v>45741</v>
      </c>
      <c r="G2263" s="1">
        <v>45745</v>
      </c>
      <c r="H2263" t="s">
        <v>8</v>
      </c>
      <c r="I2263" t="s">
        <v>3</v>
      </c>
      <c r="J2263">
        <v>4</v>
      </c>
      <c r="K2263" t="s">
        <v>4</v>
      </c>
      <c r="L2263" t="s">
        <v>62</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2350</v>
      </c>
      <c r="B2264" t="s">
        <v>108</v>
      </c>
      <c r="C2264">
        <v>2</v>
      </c>
      <c r="D2264">
        <v>31.4</v>
      </c>
      <c r="E2264">
        <v>62.8</v>
      </c>
      <c r="F2264" s="1">
        <v>45741</v>
      </c>
      <c r="G2264" s="1">
        <v>45742</v>
      </c>
      <c r="H2264" t="s">
        <v>8</v>
      </c>
      <c r="I2264" t="s">
        <v>3</v>
      </c>
      <c r="J2264">
        <v>5</v>
      </c>
      <c r="K2264" t="s">
        <v>4</v>
      </c>
      <c r="L2264" t="s">
        <v>62</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2351</v>
      </c>
      <c r="B2265" t="s">
        <v>24</v>
      </c>
      <c r="C2265">
        <v>2</v>
      </c>
      <c r="D2265">
        <v>61.5</v>
      </c>
      <c r="E2265">
        <v>123</v>
      </c>
      <c r="F2265" s="1">
        <v>45741</v>
      </c>
      <c r="G2265" s="1">
        <v>45742</v>
      </c>
      <c r="H2265" t="s">
        <v>8</v>
      </c>
      <c r="I2265" t="s">
        <v>36</v>
      </c>
      <c r="J2265">
        <v>4</v>
      </c>
      <c r="K2265" t="s">
        <v>4</v>
      </c>
      <c r="L2265" t="s">
        <v>277</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2352</v>
      </c>
      <c r="B2266" t="s">
        <v>24</v>
      </c>
      <c r="C2266">
        <v>1</v>
      </c>
      <c r="D2266">
        <v>72.599999999999994</v>
      </c>
      <c r="E2266">
        <v>72.599999999999994</v>
      </c>
      <c r="F2266" s="1">
        <v>45741</v>
      </c>
      <c r="G2266" s="1">
        <v>45742</v>
      </c>
      <c r="H2266" t="s">
        <v>8</v>
      </c>
      <c r="I2266" t="s">
        <v>3</v>
      </c>
      <c r="J2266">
        <v>3</v>
      </c>
      <c r="K2266" t="s">
        <v>4</v>
      </c>
      <c r="L2266" t="s">
        <v>100</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2353</v>
      </c>
      <c r="B2267" t="s">
        <v>31</v>
      </c>
      <c r="C2267">
        <v>3</v>
      </c>
      <c r="D2267">
        <v>26.9</v>
      </c>
      <c r="E2267">
        <v>80.699999999999989</v>
      </c>
      <c r="F2267" s="1">
        <v>45741</v>
      </c>
      <c r="G2267" s="1">
        <v>45746</v>
      </c>
      <c r="H2267" t="s">
        <v>74</v>
      </c>
      <c r="I2267" t="s">
        <v>55</v>
      </c>
      <c r="J2267">
        <v>3</v>
      </c>
      <c r="K2267" t="s">
        <v>4</v>
      </c>
      <c r="L2267" t="s">
        <v>626</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2354</v>
      </c>
      <c r="B2268" t="s">
        <v>120</v>
      </c>
      <c r="C2268">
        <v>12</v>
      </c>
      <c r="D2268">
        <v>29.4</v>
      </c>
      <c r="E2268">
        <v>352.79999999999995</v>
      </c>
      <c r="F2268" s="1">
        <v>45741</v>
      </c>
      <c r="G2268" s="1">
        <v>45742</v>
      </c>
      <c r="H2268" t="s">
        <v>12</v>
      </c>
      <c r="I2268" t="s">
        <v>20</v>
      </c>
      <c r="J2268">
        <v>4</v>
      </c>
      <c r="K2268" t="s">
        <v>4</v>
      </c>
      <c r="L2268" t="s">
        <v>952</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2355</v>
      </c>
      <c r="B2269" t="s">
        <v>120</v>
      </c>
      <c r="C2269">
        <v>2</v>
      </c>
      <c r="D2269">
        <v>42.1</v>
      </c>
      <c r="E2269">
        <v>84.2</v>
      </c>
      <c r="F2269" s="1">
        <v>45741</v>
      </c>
      <c r="G2269" s="1">
        <v>45742</v>
      </c>
      <c r="H2269" t="s">
        <v>12</v>
      </c>
      <c r="I2269" t="s">
        <v>36</v>
      </c>
      <c r="J2269">
        <v>3</v>
      </c>
      <c r="K2269" t="s">
        <v>4</v>
      </c>
      <c r="L2269" t="s">
        <v>9</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2356</v>
      </c>
      <c r="B2270" t="s">
        <v>22</v>
      </c>
      <c r="C2270">
        <v>1</v>
      </c>
      <c r="D2270">
        <v>40.5</v>
      </c>
      <c r="E2270">
        <v>40.5</v>
      </c>
      <c r="F2270" s="1">
        <v>45741</v>
      </c>
      <c r="G2270" s="1">
        <v>45742</v>
      </c>
      <c r="H2270" t="s">
        <v>12</v>
      </c>
      <c r="I2270" t="s">
        <v>25</v>
      </c>
      <c r="J2270">
        <v>3</v>
      </c>
      <c r="K2270" t="s">
        <v>4</v>
      </c>
      <c r="L2270" t="s">
        <v>9</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2357</v>
      </c>
      <c r="B2271" t="s">
        <v>11</v>
      </c>
      <c r="C2271">
        <v>4</v>
      </c>
      <c r="D2271">
        <v>182.3</v>
      </c>
      <c r="E2271">
        <v>729.2</v>
      </c>
      <c r="F2271" s="1">
        <v>45741</v>
      </c>
      <c r="G2271" s="1">
        <v>45742</v>
      </c>
      <c r="H2271" t="s">
        <v>12</v>
      </c>
      <c r="I2271" t="s">
        <v>20</v>
      </c>
      <c r="J2271">
        <v>4</v>
      </c>
      <c r="K2271" t="s">
        <v>4</v>
      </c>
      <c r="L2271" t="s">
        <v>9</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2358</v>
      </c>
      <c r="B2272" t="s">
        <v>11</v>
      </c>
      <c r="C2272">
        <v>5</v>
      </c>
      <c r="D2272">
        <v>157</v>
      </c>
      <c r="E2272">
        <v>785</v>
      </c>
      <c r="F2272" s="1">
        <v>45741</v>
      </c>
      <c r="G2272" s="1">
        <v>45744</v>
      </c>
      <c r="H2272" t="s">
        <v>12</v>
      </c>
      <c r="I2272" t="s">
        <v>20</v>
      </c>
      <c r="J2272">
        <v>5</v>
      </c>
      <c r="K2272" t="s">
        <v>4</v>
      </c>
      <c r="L2272" t="s">
        <v>13</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2359</v>
      </c>
      <c r="B2273" t="s">
        <v>120</v>
      </c>
      <c r="C2273">
        <v>5</v>
      </c>
      <c r="D2273">
        <v>45.2</v>
      </c>
      <c r="E2273">
        <v>226</v>
      </c>
      <c r="F2273" s="1">
        <v>45741</v>
      </c>
      <c r="G2273" s="1">
        <v>45744</v>
      </c>
      <c r="H2273" t="s">
        <v>12</v>
      </c>
      <c r="I2273" t="s">
        <v>20</v>
      </c>
      <c r="J2273">
        <v>4</v>
      </c>
      <c r="K2273" t="s">
        <v>4</v>
      </c>
      <c r="L2273" t="s">
        <v>132</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2360</v>
      </c>
      <c r="B2274" t="s">
        <v>108</v>
      </c>
      <c r="C2274">
        <v>4</v>
      </c>
      <c r="D2274">
        <v>27.4</v>
      </c>
      <c r="E2274">
        <v>109.6</v>
      </c>
      <c r="F2274" s="1">
        <v>45741</v>
      </c>
      <c r="G2274" s="1">
        <v>45743</v>
      </c>
      <c r="H2274" t="s">
        <v>12</v>
      </c>
      <c r="I2274" t="s">
        <v>3</v>
      </c>
      <c r="J2274">
        <v>4</v>
      </c>
      <c r="K2274" t="s">
        <v>4</v>
      </c>
      <c r="L2274" t="s">
        <v>18</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2361</v>
      </c>
      <c r="B2275" t="s">
        <v>22</v>
      </c>
      <c r="C2275">
        <v>5</v>
      </c>
      <c r="D2275">
        <v>34.1</v>
      </c>
      <c r="E2275">
        <v>170.5</v>
      </c>
      <c r="F2275" s="1">
        <v>45741</v>
      </c>
      <c r="G2275" s="1">
        <v>45743</v>
      </c>
      <c r="H2275" t="s">
        <v>8</v>
      </c>
      <c r="I2275" t="s">
        <v>3</v>
      </c>
      <c r="J2275">
        <v>5</v>
      </c>
      <c r="K2275" t="s">
        <v>4</v>
      </c>
      <c r="L2275" t="s">
        <v>18</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2362</v>
      </c>
      <c r="B2276" t="s">
        <v>1</v>
      </c>
      <c r="C2276">
        <v>2</v>
      </c>
      <c r="D2276">
        <v>26</v>
      </c>
      <c r="E2276">
        <v>52</v>
      </c>
      <c r="F2276" s="1">
        <v>45741</v>
      </c>
      <c r="G2276" s="1">
        <v>45743</v>
      </c>
      <c r="H2276" t="s">
        <v>8</v>
      </c>
      <c r="I2276" t="s">
        <v>25</v>
      </c>
      <c r="J2276">
        <v>3</v>
      </c>
      <c r="K2276" t="s">
        <v>4</v>
      </c>
      <c r="L2276" t="s">
        <v>18</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2363</v>
      </c>
      <c r="B2277" t="s">
        <v>29</v>
      </c>
      <c r="C2277">
        <v>7</v>
      </c>
      <c r="D2277">
        <v>19.399999999999999</v>
      </c>
      <c r="E2277">
        <v>135.79999999999998</v>
      </c>
      <c r="F2277" s="1">
        <v>45741</v>
      </c>
      <c r="G2277" s="1">
        <v>45743</v>
      </c>
      <c r="H2277" t="s">
        <v>2</v>
      </c>
      <c r="I2277" t="s">
        <v>20</v>
      </c>
      <c r="J2277">
        <v>3</v>
      </c>
      <c r="K2277" t="s">
        <v>4</v>
      </c>
      <c r="L2277" t="s">
        <v>18</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2364</v>
      </c>
      <c r="B2278" t="s">
        <v>113</v>
      </c>
      <c r="C2278">
        <v>3</v>
      </c>
      <c r="D2278">
        <v>30.3</v>
      </c>
      <c r="E2278">
        <v>90.9</v>
      </c>
      <c r="F2278" s="1">
        <v>45741</v>
      </c>
      <c r="G2278" s="1">
        <v>45744</v>
      </c>
      <c r="H2278" t="s">
        <v>12</v>
      </c>
      <c r="I2278" t="s">
        <v>20</v>
      </c>
      <c r="J2278">
        <v>5</v>
      </c>
      <c r="K2278" t="s">
        <v>4</v>
      </c>
      <c r="L2278" t="s">
        <v>18</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2365</v>
      </c>
      <c r="B2279" t="s">
        <v>11</v>
      </c>
      <c r="C2279">
        <v>3</v>
      </c>
      <c r="D2279">
        <v>101.4</v>
      </c>
      <c r="E2279">
        <v>304.20000000000005</v>
      </c>
      <c r="F2279" s="1">
        <v>45741</v>
      </c>
      <c r="G2279" s="1">
        <v>45742</v>
      </c>
      <c r="H2279" t="s">
        <v>8</v>
      </c>
      <c r="I2279" t="s">
        <v>3</v>
      </c>
      <c r="J2279">
        <v>4</v>
      </c>
      <c r="K2279" t="s">
        <v>4</v>
      </c>
      <c r="L2279" t="s">
        <v>18</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2366</v>
      </c>
      <c r="B2280" t="s">
        <v>15</v>
      </c>
      <c r="C2280">
        <v>5</v>
      </c>
      <c r="D2280">
        <v>55.5</v>
      </c>
      <c r="E2280">
        <v>277.5</v>
      </c>
      <c r="F2280" s="1">
        <v>45741</v>
      </c>
      <c r="G2280" s="1">
        <v>45744</v>
      </c>
      <c r="H2280" t="s">
        <v>8</v>
      </c>
      <c r="I2280" t="s">
        <v>20</v>
      </c>
      <c r="J2280">
        <v>4</v>
      </c>
      <c r="K2280" t="s">
        <v>4</v>
      </c>
      <c r="L2280" t="s">
        <v>171</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2367</v>
      </c>
      <c r="B2281" t="s">
        <v>29</v>
      </c>
      <c r="C2281">
        <v>1</v>
      </c>
      <c r="D2281">
        <v>23.1</v>
      </c>
      <c r="E2281">
        <v>23.1</v>
      </c>
      <c r="F2281" s="1">
        <v>45741</v>
      </c>
      <c r="G2281" s="1">
        <v>45742</v>
      </c>
      <c r="H2281" t="s">
        <v>8</v>
      </c>
      <c r="I2281" t="s">
        <v>3</v>
      </c>
      <c r="J2281">
        <v>4</v>
      </c>
      <c r="K2281" t="s">
        <v>4</v>
      </c>
      <c r="L2281" t="s">
        <v>173</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2368</v>
      </c>
      <c r="B2282" t="s">
        <v>131</v>
      </c>
      <c r="C2282">
        <v>2</v>
      </c>
      <c r="D2282">
        <v>38.9</v>
      </c>
      <c r="E2282">
        <v>77.8</v>
      </c>
      <c r="F2282" s="1">
        <v>45741</v>
      </c>
      <c r="G2282" s="1">
        <v>45742</v>
      </c>
      <c r="H2282" t="s">
        <v>8</v>
      </c>
      <c r="I2282" t="s">
        <v>25</v>
      </c>
      <c r="J2282">
        <v>4</v>
      </c>
      <c r="K2282" t="s">
        <v>4</v>
      </c>
      <c r="L2282" t="s">
        <v>173</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2369</v>
      </c>
      <c r="B2283" t="s">
        <v>24</v>
      </c>
      <c r="C2283">
        <v>9</v>
      </c>
      <c r="D2283">
        <v>116.3</v>
      </c>
      <c r="E2283">
        <v>1046.7</v>
      </c>
      <c r="F2283" s="1">
        <v>45741</v>
      </c>
      <c r="G2283" s="1">
        <v>45745</v>
      </c>
      <c r="H2283" t="s">
        <v>12</v>
      </c>
      <c r="I2283" t="s">
        <v>3</v>
      </c>
      <c r="J2283">
        <v>4</v>
      </c>
      <c r="K2283" t="s">
        <v>4</v>
      </c>
      <c r="L2283" t="s">
        <v>37</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2370</v>
      </c>
      <c r="B2284" t="s">
        <v>113</v>
      </c>
      <c r="C2284">
        <v>9</v>
      </c>
      <c r="D2284">
        <v>64.099999999999994</v>
      </c>
      <c r="E2284">
        <v>576.9</v>
      </c>
      <c r="F2284" s="1">
        <v>45741</v>
      </c>
      <c r="G2284" s="1">
        <v>45741</v>
      </c>
      <c r="H2284" t="s">
        <v>12</v>
      </c>
      <c r="I2284" t="s">
        <v>3</v>
      </c>
      <c r="J2284">
        <v>5</v>
      </c>
      <c r="K2284" t="s">
        <v>4</v>
      </c>
      <c r="L2284" t="s">
        <v>40</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2371</v>
      </c>
      <c r="B2285" t="s">
        <v>11</v>
      </c>
      <c r="C2285">
        <v>6</v>
      </c>
      <c r="D2285">
        <v>109.2</v>
      </c>
      <c r="E2285">
        <v>655.20000000000005</v>
      </c>
      <c r="F2285" s="1">
        <v>45741</v>
      </c>
      <c r="G2285" s="1">
        <v>45743</v>
      </c>
      <c r="H2285" t="s">
        <v>8</v>
      </c>
      <c r="I2285" t="s">
        <v>3</v>
      </c>
      <c r="J2285">
        <v>3</v>
      </c>
      <c r="K2285" t="s">
        <v>4</v>
      </c>
      <c r="L2285" t="s">
        <v>47</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2372</v>
      </c>
      <c r="B2286" t="s">
        <v>39</v>
      </c>
      <c r="C2286">
        <v>5</v>
      </c>
      <c r="D2286">
        <v>23.2</v>
      </c>
      <c r="E2286">
        <v>116</v>
      </c>
      <c r="F2286" s="1">
        <v>45742</v>
      </c>
      <c r="G2286" s="1">
        <v>45743</v>
      </c>
      <c r="H2286" t="s">
        <v>8</v>
      </c>
      <c r="I2286" t="s">
        <v>3</v>
      </c>
      <c r="J2286">
        <v>3</v>
      </c>
      <c r="K2286" t="s">
        <v>4</v>
      </c>
      <c r="L2286" t="s">
        <v>47</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2373</v>
      </c>
      <c r="B2287" t="s">
        <v>131</v>
      </c>
      <c r="C2287">
        <v>6</v>
      </c>
      <c r="D2287">
        <v>81.2</v>
      </c>
      <c r="E2287">
        <v>487.20000000000005</v>
      </c>
      <c r="F2287" s="1">
        <v>45742</v>
      </c>
      <c r="G2287" s="1">
        <v>45744</v>
      </c>
      <c r="H2287" t="s">
        <v>8</v>
      </c>
      <c r="I2287" t="s">
        <v>25</v>
      </c>
      <c r="J2287">
        <v>5</v>
      </c>
      <c r="K2287" t="s">
        <v>4</v>
      </c>
      <c r="L2287" t="s">
        <v>47</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2374</v>
      </c>
      <c r="B2288" t="s">
        <v>7</v>
      </c>
      <c r="C2288">
        <v>14</v>
      </c>
      <c r="D2288">
        <v>35.700000000000003</v>
      </c>
      <c r="E2288">
        <v>499.80000000000007</v>
      </c>
      <c r="F2288" s="1">
        <v>45742</v>
      </c>
      <c r="G2288" s="1">
        <v>45743</v>
      </c>
      <c r="H2288" t="s">
        <v>8</v>
      </c>
      <c r="I2288" t="s">
        <v>36</v>
      </c>
      <c r="J2288">
        <v>4</v>
      </c>
      <c r="K2288" t="s">
        <v>4</v>
      </c>
      <c r="L2288" t="s">
        <v>47</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2375</v>
      </c>
      <c r="B2289" t="s">
        <v>27</v>
      </c>
      <c r="C2289">
        <v>2</v>
      </c>
      <c r="D2289">
        <v>44.5</v>
      </c>
      <c r="E2289">
        <v>89</v>
      </c>
      <c r="F2289" s="1">
        <v>45742</v>
      </c>
      <c r="G2289" s="1">
        <v>45745</v>
      </c>
      <c r="H2289" t="s">
        <v>8</v>
      </c>
      <c r="I2289" t="s">
        <v>55</v>
      </c>
      <c r="J2289">
        <v>4</v>
      </c>
      <c r="K2289" t="s">
        <v>4</v>
      </c>
      <c r="L2289" t="s">
        <v>57</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2376</v>
      </c>
      <c r="B2290" t="s">
        <v>7</v>
      </c>
      <c r="C2290">
        <v>5</v>
      </c>
      <c r="D2290">
        <v>32</v>
      </c>
      <c r="E2290">
        <v>160</v>
      </c>
      <c r="F2290" s="1">
        <v>45742</v>
      </c>
      <c r="G2290" s="1">
        <v>45744</v>
      </c>
      <c r="H2290" t="s">
        <v>74</v>
      </c>
      <c r="I2290" t="s">
        <v>20</v>
      </c>
      <c r="J2290">
        <v>3</v>
      </c>
      <c r="K2290" t="s">
        <v>4</v>
      </c>
      <c r="L2290" t="s">
        <v>57</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2377</v>
      </c>
      <c r="B2291" t="s">
        <v>29</v>
      </c>
      <c r="C2291">
        <v>1</v>
      </c>
      <c r="D2291">
        <v>25.7</v>
      </c>
      <c r="E2291">
        <v>25.7</v>
      </c>
      <c r="F2291" s="1">
        <v>45742</v>
      </c>
      <c r="G2291" s="1">
        <v>45743</v>
      </c>
      <c r="H2291" t="s">
        <v>8</v>
      </c>
      <c r="I2291" t="s">
        <v>3</v>
      </c>
      <c r="J2291">
        <v>4</v>
      </c>
      <c r="K2291" t="s">
        <v>4</v>
      </c>
      <c r="L2291" t="s">
        <v>59</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2378</v>
      </c>
      <c r="B2292" t="s">
        <v>113</v>
      </c>
      <c r="C2292">
        <v>3</v>
      </c>
      <c r="D2292">
        <v>65.599999999999994</v>
      </c>
      <c r="E2292">
        <v>196.79999999999998</v>
      </c>
      <c r="F2292" s="1">
        <v>45742</v>
      </c>
      <c r="G2292" s="1">
        <v>45748</v>
      </c>
      <c r="H2292" t="s">
        <v>8</v>
      </c>
      <c r="I2292" t="s">
        <v>3</v>
      </c>
      <c r="J2292">
        <v>4</v>
      </c>
      <c r="K2292" t="s">
        <v>4</v>
      </c>
      <c r="L2292" t="s">
        <v>62</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2379</v>
      </c>
      <c r="B2293" t="s">
        <v>7</v>
      </c>
      <c r="C2293">
        <v>4</v>
      </c>
      <c r="D2293">
        <v>52.1</v>
      </c>
      <c r="E2293">
        <v>208.4</v>
      </c>
      <c r="F2293" s="1">
        <v>45742</v>
      </c>
      <c r="G2293" s="1">
        <v>45743</v>
      </c>
      <c r="H2293" t="s">
        <v>12</v>
      </c>
      <c r="I2293" t="s">
        <v>3</v>
      </c>
      <c r="J2293">
        <v>5</v>
      </c>
      <c r="K2293" t="s">
        <v>4</v>
      </c>
      <c r="L2293" t="s">
        <v>62</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2380</v>
      </c>
      <c r="B2294" t="s">
        <v>29</v>
      </c>
      <c r="C2294">
        <v>1</v>
      </c>
      <c r="D2294">
        <v>31</v>
      </c>
      <c r="E2294">
        <v>31</v>
      </c>
      <c r="F2294" s="1">
        <v>45742</v>
      </c>
      <c r="G2294" s="1">
        <v>45743</v>
      </c>
      <c r="H2294" t="s">
        <v>8</v>
      </c>
      <c r="I2294" t="s">
        <v>3</v>
      </c>
      <c r="J2294">
        <v>3</v>
      </c>
      <c r="K2294" t="s">
        <v>4</v>
      </c>
      <c r="L2294" t="s">
        <v>95</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2381</v>
      </c>
      <c r="B2295" t="s">
        <v>29</v>
      </c>
      <c r="C2295">
        <v>1</v>
      </c>
      <c r="D2295">
        <v>32</v>
      </c>
      <c r="E2295">
        <v>32</v>
      </c>
      <c r="F2295" s="1">
        <v>45742</v>
      </c>
      <c r="G2295" s="1">
        <v>45744</v>
      </c>
      <c r="H2295" t="s">
        <v>74</v>
      </c>
      <c r="I2295" t="s">
        <v>36</v>
      </c>
      <c r="J2295">
        <v>3</v>
      </c>
      <c r="K2295" t="s">
        <v>4</v>
      </c>
      <c r="L2295" t="s">
        <v>277</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2382</v>
      </c>
      <c r="B2296" t="s">
        <v>113</v>
      </c>
      <c r="C2296">
        <v>4</v>
      </c>
      <c r="D2296">
        <v>58.3</v>
      </c>
      <c r="E2296">
        <v>233.2</v>
      </c>
      <c r="F2296" s="1">
        <v>45742</v>
      </c>
      <c r="G2296" s="1">
        <v>45746</v>
      </c>
      <c r="H2296" t="s">
        <v>8</v>
      </c>
      <c r="I2296" t="s">
        <v>20</v>
      </c>
      <c r="J2296">
        <v>2</v>
      </c>
      <c r="K2296" t="s">
        <v>4</v>
      </c>
      <c r="L2296" t="s">
        <v>98</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2383</v>
      </c>
      <c r="B2297" t="s">
        <v>29</v>
      </c>
      <c r="C2297">
        <v>3</v>
      </c>
      <c r="D2297">
        <v>31</v>
      </c>
      <c r="E2297">
        <v>93</v>
      </c>
      <c r="F2297" s="1">
        <v>45742</v>
      </c>
      <c r="G2297" s="1">
        <v>45744</v>
      </c>
      <c r="H2297" t="s">
        <v>12</v>
      </c>
      <c r="I2297" t="s">
        <v>25</v>
      </c>
      <c r="J2297">
        <v>2</v>
      </c>
      <c r="K2297" t="s">
        <v>4</v>
      </c>
      <c r="L2297" t="s">
        <v>67</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2384</v>
      </c>
      <c r="B2298" t="s">
        <v>15</v>
      </c>
      <c r="C2298">
        <v>1</v>
      </c>
      <c r="D2298">
        <v>40.299999999999997</v>
      </c>
      <c r="E2298">
        <v>40.299999999999997</v>
      </c>
      <c r="F2298" s="1">
        <v>45742</v>
      </c>
      <c r="G2298" s="1">
        <v>45743</v>
      </c>
      <c r="H2298" t="s">
        <v>8</v>
      </c>
      <c r="I2298" t="s">
        <v>20</v>
      </c>
      <c r="J2298">
        <v>5</v>
      </c>
      <c r="K2298" t="s">
        <v>4</v>
      </c>
      <c r="L2298" t="s">
        <v>1368</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2385</v>
      </c>
      <c r="B2299" t="s">
        <v>24</v>
      </c>
      <c r="C2299">
        <v>3</v>
      </c>
      <c r="D2299">
        <v>47.3</v>
      </c>
      <c r="E2299">
        <v>141.89999999999998</v>
      </c>
      <c r="F2299" s="1">
        <v>45742</v>
      </c>
      <c r="G2299" s="1">
        <v>45744</v>
      </c>
      <c r="H2299" t="s">
        <v>8</v>
      </c>
      <c r="I2299" t="s">
        <v>55</v>
      </c>
      <c r="J2299">
        <v>5</v>
      </c>
      <c r="K2299" t="s">
        <v>4</v>
      </c>
      <c r="L2299" t="s">
        <v>13</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2386</v>
      </c>
      <c r="B2300" t="s">
        <v>11</v>
      </c>
      <c r="C2300">
        <v>1</v>
      </c>
      <c r="D2300">
        <v>82.8</v>
      </c>
      <c r="E2300">
        <v>82.8</v>
      </c>
      <c r="F2300" s="1">
        <v>45742</v>
      </c>
      <c r="G2300" s="1">
        <v>45743</v>
      </c>
      <c r="H2300" t="s">
        <v>8</v>
      </c>
      <c r="I2300" t="s">
        <v>3</v>
      </c>
      <c r="J2300">
        <v>4</v>
      </c>
      <c r="K2300" t="s">
        <v>4</v>
      </c>
      <c r="L2300" t="s">
        <v>13</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2387</v>
      </c>
      <c r="B2301" t="s">
        <v>29</v>
      </c>
      <c r="C2301">
        <v>1</v>
      </c>
      <c r="D2301">
        <v>18.5</v>
      </c>
      <c r="E2301">
        <v>18.5</v>
      </c>
      <c r="F2301" s="1">
        <v>45742</v>
      </c>
      <c r="G2301" s="1">
        <v>45756</v>
      </c>
      <c r="H2301" t="s">
        <v>12</v>
      </c>
      <c r="I2301" t="s">
        <v>3</v>
      </c>
      <c r="J2301">
        <v>4</v>
      </c>
      <c r="K2301" t="s">
        <v>4</v>
      </c>
      <c r="L2301" t="s">
        <v>572</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2388</v>
      </c>
      <c r="B2302" t="s">
        <v>15</v>
      </c>
      <c r="C2302">
        <v>2</v>
      </c>
      <c r="D2302">
        <v>60.4</v>
      </c>
      <c r="E2302">
        <v>120.8</v>
      </c>
      <c r="F2302" s="1">
        <v>45742</v>
      </c>
      <c r="G2302" s="1">
        <v>45743</v>
      </c>
      <c r="H2302" t="s">
        <v>8</v>
      </c>
      <c r="I2302" t="s">
        <v>25</v>
      </c>
      <c r="J2302">
        <v>4</v>
      </c>
      <c r="K2302" t="s">
        <v>4</v>
      </c>
      <c r="L2302" t="s">
        <v>132</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2389</v>
      </c>
      <c r="B2303" t="s">
        <v>24</v>
      </c>
      <c r="C2303">
        <v>5</v>
      </c>
      <c r="D2303">
        <v>80.2</v>
      </c>
      <c r="E2303">
        <v>401</v>
      </c>
      <c r="F2303" s="1">
        <v>45742</v>
      </c>
      <c r="G2303" s="1">
        <v>45749</v>
      </c>
      <c r="H2303" t="s">
        <v>8</v>
      </c>
      <c r="I2303" t="s">
        <v>20</v>
      </c>
      <c r="J2303">
        <v>3</v>
      </c>
      <c r="K2303" t="s">
        <v>4</v>
      </c>
      <c r="L2303" t="s">
        <v>934</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2390</v>
      </c>
      <c r="B2304" t="s">
        <v>17</v>
      </c>
      <c r="C2304">
        <v>1</v>
      </c>
      <c r="D2304">
        <v>41.5</v>
      </c>
      <c r="E2304">
        <v>41.5</v>
      </c>
      <c r="F2304" s="1">
        <v>45742</v>
      </c>
      <c r="G2304" s="1">
        <v>45744</v>
      </c>
      <c r="H2304" t="s">
        <v>8</v>
      </c>
      <c r="I2304" t="s">
        <v>25</v>
      </c>
      <c r="J2304">
        <v>4</v>
      </c>
      <c r="K2304" t="s">
        <v>4</v>
      </c>
      <c r="L2304" t="s">
        <v>18</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2391</v>
      </c>
      <c r="B2305" t="s">
        <v>11</v>
      </c>
      <c r="C2305">
        <v>2</v>
      </c>
      <c r="D2305">
        <v>83.9</v>
      </c>
      <c r="E2305">
        <v>167.8</v>
      </c>
      <c r="F2305" s="1">
        <v>45742</v>
      </c>
      <c r="G2305" s="1">
        <v>45745</v>
      </c>
      <c r="H2305" t="s">
        <v>12</v>
      </c>
      <c r="I2305" t="s">
        <v>3</v>
      </c>
      <c r="J2305">
        <v>4</v>
      </c>
      <c r="K2305" t="s">
        <v>4</v>
      </c>
      <c r="L2305" t="s">
        <v>18</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2392</v>
      </c>
      <c r="B2306" t="s">
        <v>29</v>
      </c>
      <c r="C2306">
        <v>2</v>
      </c>
      <c r="D2306">
        <v>16.7</v>
      </c>
      <c r="E2306">
        <v>33.4</v>
      </c>
      <c r="F2306" s="1">
        <v>45742</v>
      </c>
      <c r="G2306" s="1">
        <v>45746</v>
      </c>
      <c r="H2306" t="s">
        <v>12</v>
      </c>
      <c r="I2306" t="s">
        <v>3</v>
      </c>
      <c r="J2306">
        <v>3</v>
      </c>
      <c r="K2306" t="s">
        <v>4</v>
      </c>
      <c r="L2306" t="s">
        <v>18</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2393</v>
      </c>
      <c r="B2307" t="s">
        <v>31</v>
      </c>
      <c r="C2307">
        <v>2</v>
      </c>
      <c r="D2307">
        <v>72.900000000000006</v>
      </c>
      <c r="E2307">
        <v>145.80000000000001</v>
      </c>
      <c r="F2307" s="1">
        <v>45742</v>
      </c>
      <c r="G2307" s="1">
        <v>45743</v>
      </c>
      <c r="H2307" t="s">
        <v>8</v>
      </c>
      <c r="I2307" t="s">
        <v>25</v>
      </c>
      <c r="J2307">
        <v>3</v>
      </c>
      <c r="K2307" t="s">
        <v>4</v>
      </c>
      <c r="L2307" t="s">
        <v>18</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2394</v>
      </c>
      <c r="B2308" t="s">
        <v>22</v>
      </c>
      <c r="C2308">
        <v>2</v>
      </c>
      <c r="D2308">
        <v>50.2</v>
      </c>
      <c r="E2308">
        <v>100.4</v>
      </c>
      <c r="F2308" s="1">
        <v>45742</v>
      </c>
      <c r="G2308" s="1">
        <v>45744</v>
      </c>
      <c r="H2308" t="s">
        <v>12</v>
      </c>
      <c r="I2308" t="s">
        <v>20</v>
      </c>
      <c r="J2308">
        <v>5</v>
      </c>
      <c r="K2308" t="s">
        <v>4</v>
      </c>
      <c r="L2308" t="s">
        <v>18</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2395</v>
      </c>
      <c r="B2309" t="s">
        <v>15</v>
      </c>
      <c r="C2309">
        <v>2</v>
      </c>
      <c r="D2309">
        <v>34.200000000000003</v>
      </c>
      <c r="E2309">
        <v>68.400000000000006</v>
      </c>
      <c r="F2309" s="1">
        <v>45742</v>
      </c>
      <c r="G2309" s="1">
        <v>45752</v>
      </c>
      <c r="H2309" t="s">
        <v>2</v>
      </c>
      <c r="I2309" t="s">
        <v>20</v>
      </c>
      <c r="J2309">
        <v>4</v>
      </c>
      <c r="K2309" t="s">
        <v>4</v>
      </c>
      <c r="L2309" t="s">
        <v>18</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2396</v>
      </c>
      <c r="B2310" t="s">
        <v>22</v>
      </c>
      <c r="C2310">
        <v>2</v>
      </c>
      <c r="D2310">
        <v>107.9</v>
      </c>
      <c r="E2310">
        <v>215.8</v>
      </c>
      <c r="F2310" s="1">
        <v>45742</v>
      </c>
      <c r="G2310" s="1">
        <v>45742</v>
      </c>
      <c r="H2310" t="s">
        <v>8</v>
      </c>
      <c r="I2310" t="s">
        <v>20</v>
      </c>
      <c r="J2310">
        <v>2</v>
      </c>
      <c r="K2310" t="s">
        <v>4</v>
      </c>
      <c r="L2310" t="s">
        <v>18</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2397</v>
      </c>
      <c r="B2311" t="s">
        <v>1</v>
      </c>
      <c r="C2311">
        <v>3</v>
      </c>
      <c r="D2311">
        <v>17.5</v>
      </c>
      <c r="E2311">
        <v>52.5</v>
      </c>
      <c r="F2311" s="1">
        <v>45742</v>
      </c>
      <c r="G2311" s="1">
        <v>45744</v>
      </c>
      <c r="H2311" t="s">
        <v>8</v>
      </c>
      <c r="I2311" t="s">
        <v>55</v>
      </c>
      <c r="J2311">
        <v>4</v>
      </c>
      <c r="K2311" t="s">
        <v>4</v>
      </c>
      <c r="L2311" t="s">
        <v>18</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2398</v>
      </c>
      <c r="B2312" t="s">
        <v>61</v>
      </c>
      <c r="C2312">
        <v>15</v>
      </c>
      <c r="D2312">
        <v>44.7</v>
      </c>
      <c r="E2312">
        <v>670.5</v>
      </c>
      <c r="F2312" s="1">
        <v>45742</v>
      </c>
      <c r="G2312" s="1">
        <v>45743</v>
      </c>
      <c r="H2312" t="s">
        <v>8</v>
      </c>
      <c r="I2312" t="s">
        <v>3</v>
      </c>
      <c r="J2312">
        <v>3</v>
      </c>
      <c r="K2312" t="s">
        <v>4</v>
      </c>
      <c r="L2312" t="s">
        <v>18</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2399</v>
      </c>
      <c r="B2313" t="s">
        <v>54</v>
      </c>
      <c r="C2313">
        <v>6</v>
      </c>
      <c r="D2313">
        <v>92.7</v>
      </c>
      <c r="E2313">
        <v>556.20000000000005</v>
      </c>
      <c r="F2313" s="1">
        <v>45742</v>
      </c>
      <c r="G2313" s="1">
        <v>45744</v>
      </c>
      <c r="H2313" t="s">
        <v>12</v>
      </c>
      <c r="I2313" t="s">
        <v>25</v>
      </c>
      <c r="J2313">
        <v>3</v>
      </c>
      <c r="K2313" t="s">
        <v>4</v>
      </c>
      <c r="L2313" t="s">
        <v>18</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2400</v>
      </c>
      <c r="B2314" t="s">
        <v>27</v>
      </c>
      <c r="C2314">
        <v>3</v>
      </c>
      <c r="D2314">
        <v>48.8</v>
      </c>
      <c r="E2314">
        <v>146.39999999999998</v>
      </c>
      <c r="F2314" s="1">
        <v>45742</v>
      </c>
      <c r="G2314" s="1">
        <v>45744</v>
      </c>
      <c r="H2314" t="s">
        <v>12</v>
      </c>
      <c r="I2314" t="s">
        <v>25</v>
      </c>
      <c r="J2314">
        <v>4</v>
      </c>
      <c r="K2314" t="s">
        <v>4</v>
      </c>
      <c r="L2314" t="s">
        <v>18</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2401</v>
      </c>
      <c r="B2315" t="s">
        <v>17</v>
      </c>
      <c r="C2315">
        <v>16</v>
      </c>
      <c r="D2315">
        <v>21.3</v>
      </c>
      <c r="E2315">
        <v>340.8</v>
      </c>
      <c r="F2315" s="1">
        <v>45742</v>
      </c>
      <c r="G2315" s="1">
        <v>45746</v>
      </c>
      <c r="H2315" t="s">
        <v>12</v>
      </c>
      <c r="I2315" t="s">
        <v>36</v>
      </c>
      <c r="J2315">
        <v>1</v>
      </c>
      <c r="K2315" t="s">
        <v>4</v>
      </c>
      <c r="L2315" t="s">
        <v>18</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2402</v>
      </c>
      <c r="B2316" t="s">
        <v>113</v>
      </c>
      <c r="C2316">
        <v>1</v>
      </c>
      <c r="D2316">
        <v>52.5</v>
      </c>
      <c r="E2316">
        <v>52.5</v>
      </c>
      <c r="F2316" s="1">
        <v>45742</v>
      </c>
      <c r="G2316" s="1">
        <v>45743</v>
      </c>
      <c r="H2316" t="s">
        <v>12</v>
      </c>
      <c r="I2316" t="s">
        <v>3</v>
      </c>
      <c r="J2316">
        <v>4</v>
      </c>
      <c r="K2316" t="s">
        <v>4</v>
      </c>
      <c r="L2316" t="s">
        <v>18</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2403</v>
      </c>
      <c r="B2317" t="s">
        <v>7</v>
      </c>
      <c r="C2317">
        <v>2</v>
      </c>
      <c r="D2317">
        <v>92.4</v>
      </c>
      <c r="E2317">
        <v>184.8</v>
      </c>
      <c r="F2317" s="1">
        <v>45742</v>
      </c>
      <c r="G2317" s="1">
        <v>45748</v>
      </c>
      <c r="H2317" t="s">
        <v>12</v>
      </c>
      <c r="I2317" t="s">
        <v>3</v>
      </c>
      <c r="J2317">
        <v>5</v>
      </c>
      <c r="K2317" t="s">
        <v>4</v>
      </c>
      <c r="L2317" t="s">
        <v>18</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2404</v>
      </c>
      <c r="B2318" t="s">
        <v>17</v>
      </c>
      <c r="C2318">
        <v>11</v>
      </c>
      <c r="D2318">
        <v>58.3</v>
      </c>
      <c r="E2318">
        <v>641.29999999999995</v>
      </c>
      <c r="F2318" s="1">
        <v>45742</v>
      </c>
      <c r="G2318" s="1">
        <v>45744</v>
      </c>
      <c r="H2318" t="s">
        <v>8</v>
      </c>
      <c r="I2318" t="s">
        <v>20</v>
      </c>
      <c r="J2318">
        <v>5</v>
      </c>
      <c r="K2318" t="s">
        <v>4</v>
      </c>
      <c r="L2318" t="s">
        <v>18</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2405</v>
      </c>
      <c r="B2319" t="s">
        <v>24</v>
      </c>
      <c r="C2319">
        <v>23</v>
      </c>
      <c r="D2319">
        <v>152.6</v>
      </c>
      <c r="E2319">
        <v>3509.7999999999997</v>
      </c>
      <c r="F2319" s="1">
        <v>45743</v>
      </c>
      <c r="G2319" s="1">
        <v>45745</v>
      </c>
      <c r="H2319" t="s">
        <v>2</v>
      </c>
      <c r="I2319" t="s">
        <v>3</v>
      </c>
      <c r="J2319">
        <v>4</v>
      </c>
      <c r="K2319" t="s">
        <v>4</v>
      </c>
      <c r="L2319" t="s">
        <v>18</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2406</v>
      </c>
      <c r="B2320" t="s">
        <v>29</v>
      </c>
      <c r="C2320">
        <v>2</v>
      </c>
      <c r="D2320">
        <v>26</v>
      </c>
      <c r="E2320">
        <v>52</v>
      </c>
      <c r="F2320" s="1">
        <v>45743</v>
      </c>
      <c r="G2320" s="1">
        <v>45743</v>
      </c>
      <c r="H2320" t="s">
        <v>2</v>
      </c>
      <c r="I2320" t="s">
        <v>3</v>
      </c>
      <c r="J2320">
        <v>3</v>
      </c>
      <c r="K2320" t="s">
        <v>4</v>
      </c>
      <c r="L2320" t="s">
        <v>18</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2407</v>
      </c>
      <c r="B2321" t="s">
        <v>7</v>
      </c>
      <c r="C2321">
        <v>4</v>
      </c>
      <c r="D2321">
        <v>33.1</v>
      </c>
      <c r="E2321">
        <v>132.4</v>
      </c>
      <c r="F2321" s="1">
        <v>45743</v>
      </c>
      <c r="G2321" s="1">
        <v>45743</v>
      </c>
      <c r="H2321" t="s">
        <v>8</v>
      </c>
      <c r="I2321" t="s">
        <v>25</v>
      </c>
      <c r="J2321">
        <v>2</v>
      </c>
      <c r="K2321" t="s">
        <v>4</v>
      </c>
      <c r="L2321" t="s">
        <v>37</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2408</v>
      </c>
      <c r="B2322" t="s">
        <v>131</v>
      </c>
      <c r="C2322">
        <v>1</v>
      </c>
      <c r="D2322">
        <v>51.4</v>
      </c>
      <c r="E2322">
        <v>51.4</v>
      </c>
      <c r="F2322" s="1">
        <v>45743</v>
      </c>
      <c r="G2322" s="1">
        <v>45745</v>
      </c>
      <c r="H2322" t="s">
        <v>12</v>
      </c>
      <c r="I2322" t="s">
        <v>20</v>
      </c>
      <c r="J2322">
        <v>3</v>
      </c>
      <c r="K2322" t="s">
        <v>4</v>
      </c>
      <c r="L2322" t="s">
        <v>37</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2409</v>
      </c>
      <c r="B2323" t="s">
        <v>29</v>
      </c>
      <c r="C2323">
        <v>2</v>
      </c>
      <c r="D2323">
        <v>30.2</v>
      </c>
      <c r="E2323">
        <v>60.4</v>
      </c>
      <c r="F2323" s="1">
        <v>45743</v>
      </c>
      <c r="G2323" s="1">
        <v>45744</v>
      </c>
      <c r="H2323" t="s">
        <v>12</v>
      </c>
      <c r="I2323" t="s">
        <v>25</v>
      </c>
      <c r="J2323">
        <v>5</v>
      </c>
      <c r="K2323" t="s">
        <v>4</v>
      </c>
      <c r="L2323" t="s">
        <v>40</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2410</v>
      </c>
      <c r="B2324" t="s">
        <v>11</v>
      </c>
      <c r="C2324">
        <v>6</v>
      </c>
      <c r="D2324">
        <v>97</v>
      </c>
      <c r="E2324">
        <v>582</v>
      </c>
      <c r="F2324" s="1">
        <v>45743</v>
      </c>
      <c r="G2324" s="1">
        <v>45747</v>
      </c>
      <c r="H2324" t="s">
        <v>12</v>
      </c>
      <c r="I2324" t="s">
        <v>3</v>
      </c>
      <c r="J2324">
        <v>5</v>
      </c>
      <c r="K2324" t="s">
        <v>4</v>
      </c>
      <c r="L2324" t="s">
        <v>44</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2411</v>
      </c>
      <c r="B2325" t="s">
        <v>11</v>
      </c>
      <c r="C2325">
        <v>1</v>
      </c>
      <c r="D2325">
        <v>76.900000000000006</v>
      </c>
      <c r="E2325">
        <v>76.900000000000006</v>
      </c>
      <c r="F2325" s="1">
        <v>45743</v>
      </c>
      <c r="G2325" s="1">
        <v>45744</v>
      </c>
      <c r="H2325" t="s">
        <v>8</v>
      </c>
      <c r="I2325" t="s">
        <v>20</v>
      </c>
      <c r="J2325">
        <v>5</v>
      </c>
      <c r="K2325" t="s">
        <v>4</v>
      </c>
      <c r="L2325" t="s">
        <v>47</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2412</v>
      </c>
      <c r="B2326" t="s">
        <v>27</v>
      </c>
      <c r="C2326">
        <v>6</v>
      </c>
      <c r="D2326">
        <v>36.1</v>
      </c>
      <c r="E2326">
        <v>216.60000000000002</v>
      </c>
      <c r="F2326" s="1">
        <v>45743</v>
      </c>
      <c r="G2326" s="1">
        <v>45747</v>
      </c>
      <c r="H2326" t="s">
        <v>12</v>
      </c>
      <c r="I2326" t="s">
        <v>3</v>
      </c>
      <c r="J2326">
        <v>4</v>
      </c>
      <c r="K2326" t="s">
        <v>4</v>
      </c>
      <c r="L2326" t="s">
        <v>47</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2413</v>
      </c>
      <c r="B2327" t="s">
        <v>7</v>
      </c>
      <c r="C2327">
        <v>7</v>
      </c>
      <c r="D2327">
        <v>34.4</v>
      </c>
      <c r="E2327">
        <v>240.79999999999998</v>
      </c>
      <c r="F2327" s="1">
        <v>45743</v>
      </c>
      <c r="G2327" s="1">
        <v>45743</v>
      </c>
      <c r="H2327" t="s">
        <v>12</v>
      </c>
      <c r="I2327" t="s">
        <v>25</v>
      </c>
      <c r="J2327">
        <v>3</v>
      </c>
      <c r="K2327" t="s">
        <v>4</v>
      </c>
      <c r="L2327" t="s">
        <v>62</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2414</v>
      </c>
      <c r="B2328" t="s">
        <v>7</v>
      </c>
      <c r="C2328">
        <v>28</v>
      </c>
      <c r="D2328">
        <v>53.4</v>
      </c>
      <c r="E2328">
        <v>1495.2</v>
      </c>
      <c r="F2328" s="1">
        <v>45743</v>
      </c>
      <c r="G2328" s="1">
        <v>45745</v>
      </c>
      <c r="H2328" t="s">
        <v>12</v>
      </c>
      <c r="I2328" t="s">
        <v>20</v>
      </c>
      <c r="J2328">
        <v>4</v>
      </c>
      <c r="K2328" t="s">
        <v>4</v>
      </c>
      <c r="L2328" t="s">
        <v>93</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2415</v>
      </c>
      <c r="B2329" t="s">
        <v>11</v>
      </c>
      <c r="C2329">
        <v>1</v>
      </c>
      <c r="D2329">
        <v>77.599999999999994</v>
      </c>
      <c r="E2329">
        <v>77.599999999999994</v>
      </c>
      <c r="F2329" s="1">
        <v>45743</v>
      </c>
      <c r="G2329" s="1">
        <v>45744</v>
      </c>
      <c r="H2329" t="s">
        <v>12</v>
      </c>
      <c r="I2329" t="s">
        <v>3</v>
      </c>
      <c r="J2329">
        <v>3</v>
      </c>
      <c r="K2329" t="s">
        <v>4</v>
      </c>
      <c r="L2329" t="s">
        <v>95</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2416</v>
      </c>
      <c r="B2330" t="s">
        <v>7</v>
      </c>
      <c r="C2330">
        <v>3</v>
      </c>
      <c r="D2330">
        <v>71.7</v>
      </c>
      <c r="E2330">
        <v>215.10000000000002</v>
      </c>
      <c r="F2330" s="1">
        <v>45743</v>
      </c>
      <c r="G2330" s="1">
        <v>45746</v>
      </c>
      <c r="H2330" t="s">
        <v>12</v>
      </c>
      <c r="I2330" t="s">
        <v>20</v>
      </c>
      <c r="J2330">
        <v>4</v>
      </c>
      <c r="K2330" t="s">
        <v>4</v>
      </c>
      <c r="L2330" t="s">
        <v>95</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2417</v>
      </c>
      <c r="B2331" t="s">
        <v>15</v>
      </c>
      <c r="C2331">
        <v>3</v>
      </c>
      <c r="D2331">
        <v>80.599999999999994</v>
      </c>
      <c r="E2331">
        <v>241.79999999999998</v>
      </c>
      <c r="F2331" s="1">
        <v>45743</v>
      </c>
      <c r="G2331" s="1">
        <v>45744</v>
      </c>
      <c r="H2331" t="s">
        <v>8</v>
      </c>
      <c r="I2331" t="s">
        <v>55</v>
      </c>
      <c r="J2331">
        <v>3</v>
      </c>
      <c r="K2331" t="s">
        <v>4</v>
      </c>
      <c r="L2331" t="s">
        <v>95</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2418</v>
      </c>
      <c r="B2332" t="s">
        <v>7</v>
      </c>
      <c r="C2332">
        <v>15</v>
      </c>
      <c r="D2332">
        <v>70</v>
      </c>
      <c r="E2332">
        <v>1050</v>
      </c>
      <c r="F2332" s="1">
        <v>45743</v>
      </c>
      <c r="G2332" s="1">
        <v>45745</v>
      </c>
      <c r="H2332" t="s">
        <v>8</v>
      </c>
      <c r="I2332" t="s">
        <v>3</v>
      </c>
      <c r="J2332">
        <v>4</v>
      </c>
      <c r="K2332" t="s">
        <v>4</v>
      </c>
      <c r="L2332" t="s">
        <v>98</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2419</v>
      </c>
      <c r="B2333" t="s">
        <v>17</v>
      </c>
      <c r="C2333">
        <v>6</v>
      </c>
      <c r="D2333">
        <v>27.3</v>
      </c>
      <c r="E2333">
        <v>163.80000000000001</v>
      </c>
      <c r="F2333" s="1">
        <v>45743</v>
      </c>
      <c r="G2333" s="1">
        <v>45745</v>
      </c>
      <c r="H2333" t="s">
        <v>12</v>
      </c>
      <c r="I2333" t="s">
        <v>20</v>
      </c>
      <c r="J2333">
        <v>3</v>
      </c>
      <c r="K2333" t="s">
        <v>4</v>
      </c>
      <c r="L2333" t="s">
        <v>13</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2420</v>
      </c>
      <c r="B2334" t="s">
        <v>29</v>
      </c>
      <c r="C2334">
        <v>14</v>
      </c>
      <c r="D2334">
        <v>37.6</v>
      </c>
      <c r="E2334">
        <v>526.4</v>
      </c>
      <c r="F2334" s="1">
        <v>45743</v>
      </c>
      <c r="G2334" s="1">
        <v>45745</v>
      </c>
      <c r="H2334" t="s">
        <v>8</v>
      </c>
      <c r="I2334" t="s">
        <v>20</v>
      </c>
      <c r="J2334">
        <v>4</v>
      </c>
      <c r="K2334" t="s">
        <v>4</v>
      </c>
      <c r="L2334" t="s">
        <v>18</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2421</v>
      </c>
      <c r="B2335" t="s">
        <v>22</v>
      </c>
      <c r="C2335">
        <v>3</v>
      </c>
      <c r="D2335">
        <v>36.6</v>
      </c>
      <c r="E2335">
        <v>109.80000000000001</v>
      </c>
      <c r="F2335" s="1">
        <v>45743</v>
      </c>
      <c r="G2335" s="1">
        <v>45745</v>
      </c>
      <c r="H2335" t="s">
        <v>12</v>
      </c>
      <c r="I2335" t="s">
        <v>55</v>
      </c>
      <c r="J2335">
        <v>4</v>
      </c>
      <c r="K2335" t="s">
        <v>4</v>
      </c>
      <c r="L2335" t="s">
        <v>18</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2422</v>
      </c>
      <c r="B2336" t="s">
        <v>61</v>
      </c>
      <c r="C2336">
        <v>1</v>
      </c>
      <c r="D2336">
        <v>55.2</v>
      </c>
      <c r="E2336">
        <v>55.2</v>
      </c>
      <c r="F2336" s="1">
        <v>45743</v>
      </c>
      <c r="G2336" s="1">
        <v>45745</v>
      </c>
      <c r="H2336" t="s">
        <v>8</v>
      </c>
      <c r="I2336" t="s">
        <v>36</v>
      </c>
      <c r="J2336">
        <v>4</v>
      </c>
      <c r="K2336" t="s">
        <v>4</v>
      </c>
      <c r="L2336" t="s">
        <v>18</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2423</v>
      </c>
      <c r="B2337" t="s">
        <v>24</v>
      </c>
      <c r="C2337">
        <v>5</v>
      </c>
      <c r="D2337">
        <v>59.9</v>
      </c>
      <c r="E2337">
        <v>299.5</v>
      </c>
      <c r="F2337" s="1">
        <v>45743</v>
      </c>
      <c r="G2337" s="1">
        <v>45745</v>
      </c>
      <c r="H2337" t="s">
        <v>8</v>
      </c>
      <c r="I2337" t="s">
        <v>3</v>
      </c>
      <c r="J2337">
        <v>4</v>
      </c>
      <c r="K2337" t="s">
        <v>4</v>
      </c>
      <c r="L2337" t="s">
        <v>18</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2424</v>
      </c>
      <c r="B2338" t="s">
        <v>24</v>
      </c>
      <c r="C2338">
        <v>1</v>
      </c>
      <c r="D2338">
        <v>44</v>
      </c>
      <c r="E2338">
        <v>44</v>
      </c>
      <c r="F2338" s="1">
        <v>45743</v>
      </c>
      <c r="G2338" s="1">
        <v>45744</v>
      </c>
      <c r="H2338" t="s">
        <v>12</v>
      </c>
      <c r="I2338" t="s">
        <v>25</v>
      </c>
      <c r="J2338">
        <v>5</v>
      </c>
      <c r="K2338" t="s">
        <v>4</v>
      </c>
      <c r="L2338" t="s">
        <v>18</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2425</v>
      </c>
      <c r="B2339" t="s">
        <v>31</v>
      </c>
      <c r="C2339">
        <v>2</v>
      </c>
      <c r="D2339">
        <v>68.7</v>
      </c>
      <c r="E2339">
        <v>137.4</v>
      </c>
      <c r="F2339" s="1">
        <v>45743</v>
      </c>
      <c r="G2339" s="1">
        <v>45743</v>
      </c>
      <c r="H2339" t="s">
        <v>8</v>
      </c>
      <c r="I2339" t="s">
        <v>3</v>
      </c>
      <c r="J2339">
        <v>4</v>
      </c>
      <c r="K2339" t="s">
        <v>4</v>
      </c>
      <c r="L2339" t="s">
        <v>18</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2426</v>
      </c>
      <c r="B2340" t="s">
        <v>22</v>
      </c>
      <c r="C2340">
        <v>2</v>
      </c>
      <c r="D2340">
        <v>61.6</v>
      </c>
      <c r="E2340">
        <v>123.2</v>
      </c>
      <c r="F2340" s="1">
        <v>45743</v>
      </c>
      <c r="G2340" s="1">
        <v>45747</v>
      </c>
      <c r="H2340" t="s">
        <v>8</v>
      </c>
      <c r="I2340" t="s">
        <v>36</v>
      </c>
      <c r="J2340">
        <v>3</v>
      </c>
      <c r="K2340" t="s">
        <v>4</v>
      </c>
      <c r="L2340" t="s">
        <v>18</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2427</v>
      </c>
      <c r="B2341" t="s">
        <v>27</v>
      </c>
      <c r="C2341">
        <v>7</v>
      </c>
      <c r="D2341">
        <v>51.8</v>
      </c>
      <c r="E2341">
        <v>362.59999999999997</v>
      </c>
      <c r="F2341" s="1">
        <v>45743</v>
      </c>
      <c r="G2341" s="1">
        <v>45744</v>
      </c>
      <c r="H2341" t="s">
        <v>8</v>
      </c>
      <c r="I2341" t="s">
        <v>3</v>
      </c>
      <c r="J2341">
        <v>4</v>
      </c>
      <c r="K2341" t="s">
        <v>4</v>
      </c>
      <c r="L2341" t="s">
        <v>18</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2428</v>
      </c>
      <c r="B2342" t="s">
        <v>29</v>
      </c>
      <c r="C2342">
        <v>10</v>
      </c>
      <c r="D2342">
        <v>46.2</v>
      </c>
      <c r="E2342">
        <v>462</v>
      </c>
      <c r="F2342" s="1">
        <v>45743</v>
      </c>
      <c r="G2342" s="1">
        <v>45745</v>
      </c>
      <c r="H2342" t="s">
        <v>8</v>
      </c>
      <c r="I2342" t="s">
        <v>20</v>
      </c>
      <c r="J2342">
        <v>5</v>
      </c>
      <c r="K2342" t="s">
        <v>4</v>
      </c>
      <c r="L2342" t="s">
        <v>18</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2429</v>
      </c>
      <c r="B2343" t="s">
        <v>1</v>
      </c>
      <c r="C2343">
        <v>2</v>
      </c>
      <c r="D2343">
        <v>19.399999999999999</v>
      </c>
      <c r="E2343">
        <v>38.799999999999997</v>
      </c>
      <c r="F2343" s="1">
        <v>45743</v>
      </c>
      <c r="G2343" s="1">
        <v>45745</v>
      </c>
      <c r="H2343" t="s">
        <v>12</v>
      </c>
      <c r="I2343" t="s">
        <v>20</v>
      </c>
      <c r="J2343">
        <v>5</v>
      </c>
      <c r="K2343" t="s">
        <v>4</v>
      </c>
      <c r="L2343" t="s">
        <v>40</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2430</v>
      </c>
      <c r="B2344" t="s">
        <v>52</v>
      </c>
      <c r="C2344">
        <v>3</v>
      </c>
      <c r="D2344">
        <v>52.1</v>
      </c>
      <c r="E2344">
        <v>156.30000000000001</v>
      </c>
      <c r="F2344" s="1">
        <v>45743</v>
      </c>
      <c r="G2344" s="1">
        <v>45746</v>
      </c>
      <c r="H2344" t="s">
        <v>8</v>
      </c>
      <c r="I2344" t="s">
        <v>36</v>
      </c>
      <c r="J2344">
        <v>1</v>
      </c>
      <c r="K2344" t="s">
        <v>4</v>
      </c>
      <c r="L2344" t="s">
        <v>40</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2431</v>
      </c>
      <c r="B2345" t="s">
        <v>24</v>
      </c>
      <c r="C2345">
        <v>1</v>
      </c>
      <c r="D2345">
        <v>74.900000000000006</v>
      </c>
      <c r="E2345">
        <v>74.900000000000006</v>
      </c>
      <c r="F2345" s="1">
        <v>45743</v>
      </c>
      <c r="G2345" s="1">
        <v>45745</v>
      </c>
      <c r="H2345" t="s">
        <v>74</v>
      </c>
      <c r="I2345" t="s">
        <v>3</v>
      </c>
      <c r="J2345">
        <v>4</v>
      </c>
      <c r="K2345" t="s">
        <v>4</v>
      </c>
      <c r="L2345" t="s">
        <v>44</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2432</v>
      </c>
      <c r="B2346" t="s">
        <v>31</v>
      </c>
      <c r="C2346">
        <v>7</v>
      </c>
      <c r="D2346">
        <v>49.6</v>
      </c>
      <c r="E2346">
        <v>347.2</v>
      </c>
      <c r="F2346" s="1">
        <v>45743</v>
      </c>
      <c r="G2346" s="1">
        <v>45746</v>
      </c>
      <c r="H2346" t="s">
        <v>12</v>
      </c>
      <c r="I2346" t="s">
        <v>55</v>
      </c>
      <c r="J2346">
        <v>4</v>
      </c>
      <c r="K2346" t="s">
        <v>4</v>
      </c>
      <c r="L2346" t="s">
        <v>47</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2433</v>
      </c>
      <c r="B2347" t="s">
        <v>113</v>
      </c>
      <c r="C2347">
        <v>4</v>
      </c>
      <c r="D2347">
        <v>82.8</v>
      </c>
      <c r="E2347">
        <v>331.2</v>
      </c>
      <c r="F2347" s="1">
        <v>45744</v>
      </c>
      <c r="G2347" s="1">
        <v>45747</v>
      </c>
      <c r="H2347" t="s">
        <v>12</v>
      </c>
      <c r="I2347" t="s">
        <v>55</v>
      </c>
      <c r="J2347">
        <v>4</v>
      </c>
      <c r="K2347" t="s">
        <v>4</v>
      </c>
      <c r="L2347" t="s">
        <v>47</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2434</v>
      </c>
      <c r="B2348" t="s">
        <v>11</v>
      </c>
      <c r="C2348">
        <v>1</v>
      </c>
      <c r="D2348">
        <v>97.7</v>
      </c>
      <c r="E2348">
        <v>97.7</v>
      </c>
      <c r="F2348" s="1">
        <v>45744</v>
      </c>
      <c r="G2348" s="1">
        <v>45745</v>
      </c>
      <c r="H2348" t="s">
        <v>12</v>
      </c>
      <c r="I2348" t="s">
        <v>20</v>
      </c>
      <c r="J2348">
        <v>4</v>
      </c>
      <c r="K2348" t="s">
        <v>4</v>
      </c>
      <c r="L2348" t="s">
        <v>47</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2435</v>
      </c>
      <c r="B2349" t="s">
        <v>24</v>
      </c>
      <c r="C2349">
        <v>5</v>
      </c>
      <c r="D2349">
        <v>83.6</v>
      </c>
      <c r="E2349">
        <v>418</v>
      </c>
      <c r="F2349" s="1">
        <v>45744</v>
      </c>
      <c r="G2349" s="1">
        <v>45745</v>
      </c>
      <c r="H2349" t="s">
        <v>12</v>
      </c>
      <c r="I2349" t="s">
        <v>55</v>
      </c>
      <c r="J2349">
        <v>4</v>
      </c>
      <c r="K2349" t="s">
        <v>4</v>
      </c>
      <c r="L2349" t="s">
        <v>47</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2436</v>
      </c>
      <c r="B2350" t="s">
        <v>29</v>
      </c>
      <c r="C2350">
        <v>5</v>
      </c>
      <c r="D2350">
        <v>23.5</v>
      </c>
      <c r="E2350">
        <v>117.5</v>
      </c>
      <c r="F2350" s="1">
        <v>45744</v>
      </c>
      <c r="G2350" s="1">
        <v>45748</v>
      </c>
      <c r="H2350" t="s">
        <v>74</v>
      </c>
      <c r="I2350" t="s">
        <v>3</v>
      </c>
      <c r="J2350">
        <v>4</v>
      </c>
      <c r="K2350" t="s">
        <v>4</v>
      </c>
      <c r="L2350" t="s">
        <v>47</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2437</v>
      </c>
      <c r="B2351" t="s">
        <v>31</v>
      </c>
      <c r="C2351">
        <v>3</v>
      </c>
      <c r="D2351">
        <v>44.6</v>
      </c>
      <c r="E2351">
        <v>133.80000000000001</v>
      </c>
      <c r="F2351" s="1">
        <v>45744</v>
      </c>
      <c r="G2351" s="1">
        <v>45747</v>
      </c>
      <c r="H2351" t="s">
        <v>12</v>
      </c>
      <c r="I2351" t="s">
        <v>55</v>
      </c>
      <c r="J2351">
        <v>3</v>
      </c>
      <c r="K2351" t="s">
        <v>4</v>
      </c>
      <c r="L2351" t="s">
        <v>186</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2438</v>
      </c>
      <c r="B2352" t="s">
        <v>1</v>
      </c>
      <c r="C2352">
        <v>3</v>
      </c>
      <c r="D2352">
        <v>20.100000000000001</v>
      </c>
      <c r="E2352">
        <v>60.300000000000004</v>
      </c>
      <c r="F2352" s="1">
        <v>45744</v>
      </c>
      <c r="G2352" s="1">
        <v>45746</v>
      </c>
      <c r="H2352" t="s">
        <v>12</v>
      </c>
      <c r="I2352" t="s">
        <v>36</v>
      </c>
      <c r="J2352">
        <v>2</v>
      </c>
      <c r="K2352" t="s">
        <v>4</v>
      </c>
      <c r="L2352" t="s">
        <v>62</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2439</v>
      </c>
      <c r="B2353" t="s">
        <v>11</v>
      </c>
      <c r="C2353">
        <v>5</v>
      </c>
      <c r="D2353">
        <v>153.6</v>
      </c>
      <c r="E2353">
        <v>768</v>
      </c>
      <c r="F2353" s="1">
        <v>45744</v>
      </c>
      <c r="G2353" s="1">
        <v>45745</v>
      </c>
      <c r="H2353" t="s">
        <v>12</v>
      </c>
      <c r="I2353" t="s">
        <v>20</v>
      </c>
      <c r="J2353">
        <v>5</v>
      </c>
      <c r="K2353" t="s">
        <v>4</v>
      </c>
      <c r="L2353" t="s">
        <v>1101</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2440</v>
      </c>
      <c r="B2354" t="s">
        <v>7</v>
      </c>
      <c r="C2354">
        <v>2</v>
      </c>
      <c r="D2354">
        <v>71.8</v>
      </c>
      <c r="E2354">
        <v>143.6</v>
      </c>
      <c r="F2354" s="1">
        <v>45744</v>
      </c>
      <c r="G2354" s="1">
        <v>45748</v>
      </c>
      <c r="H2354" t="s">
        <v>12</v>
      </c>
      <c r="I2354" t="s">
        <v>20</v>
      </c>
      <c r="J2354">
        <v>4</v>
      </c>
      <c r="K2354" t="s">
        <v>4</v>
      </c>
      <c r="L2354" t="s">
        <v>9</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2441</v>
      </c>
      <c r="B2355" t="s">
        <v>39</v>
      </c>
      <c r="C2355">
        <v>1</v>
      </c>
      <c r="D2355">
        <v>64.7</v>
      </c>
      <c r="E2355">
        <v>64.7</v>
      </c>
      <c r="F2355" s="1">
        <v>45744</v>
      </c>
      <c r="G2355" s="1">
        <v>45746</v>
      </c>
      <c r="H2355" t="s">
        <v>2</v>
      </c>
      <c r="I2355" t="s">
        <v>3</v>
      </c>
      <c r="J2355">
        <v>3</v>
      </c>
      <c r="K2355" t="s">
        <v>4</v>
      </c>
      <c r="L2355" t="s">
        <v>9</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2442</v>
      </c>
      <c r="B2356" t="s">
        <v>31</v>
      </c>
      <c r="C2356">
        <v>8</v>
      </c>
      <c r="D2356">
        <v>60.4</v>
      </c>
      <c r="E2356">
        <v>483.2</v>
      </c>
      <c r="F2356" s="1">
        <v>45744</v>
      </c>
      <c r="G2356" s="1">
        <v>45746</v>
      </c>
      <c r="H2356" t="s">
        <v>12</v>
      </c>
      <c r="I2356" t="s">
        <v>36</v>
      </c>
      <c r="J2356">
        <v>5</v>
      </c>
      <c r="K2356" t="s">
        <v>4</v>
      </c>
      <c r="L2356" t="s">
        <v>13</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2443</v>
      </c>
      <c r="B2357" t="s">
        <v>24</v>
      </c>
      <c r="C2357">
        <v>4</v>
      </c>
      <c r="D2357">
        <v>86</v>
      </c>
      <c r="E2357">
        <v>344</v>
      </c>
      <c r="F2357" s="1">
        <v>45744</v>
      </c>
      <c r="G2357" s="1">
        <v>45747</v>
      </c>
      <c r="H2357" t="s">
        <v>12</v>
      </c>
      <c r="I2357" t="s">
        <v>25</v>
      </c>
      <c r="J2357">
        <v>5</v>
      </c>
      <c r="K2357" t="s">
        <v>4</v>
      </c>
      <c r="L2357" t="s">
        <v>132</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2444</v>
      </c>
      <c r="B2358" t="s">
        <v>54</v>
      </c>
      <c r="C2358">
        <v>2</v>
      </c>
      <c r="D2358">
        <v>42.1</v>
      </c>
      <c r="E2358">
        <v>84.2</v>
      </c>
      <c r="F2358" s="1">
        <v>45744</v>
      </c>
      <c r="G2358" s="1">
        <v>45745</v>
      </c>
      <c r="H2358" t="s">
        <v>12</v>
      </c>
      <c r="I2358" t="s">
        <v>55</v>
      </c>
      <c r="J2358">
        <v>3</v>
      </c>
      <c r="K2358" t="s">
        <v>4</v>
      </c>
      <c r="L2358" t="s">
        <v>319</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2445</v>
      </c>
      <c r="B2359" t="s">
        <v>113</v>
      </c>
      <c r="C2359">
        <v>9</v>
      </c>
      <c r="D2359">
        <v>51.1</v>
      </c>
      <c r="E2359">
        <v>459.90000000000003</v>
      </c>
      <c r="F2359" s="1">
        <v>45744</v>
      </c>
      <c r="G2359" s="1">
        <v>45745</v>
      </c>
      <c r="H2359" t="s">
        <v>8</v>
      </c>
      <c r="I2359" t="s">
        <v>25</v>
      </c>
      <c r="J2359">
        <v>3</v>
      </c>
      <c r="K2359" t="s">
        <v>4</v>
      </c>
      <c r="L2359" t="s">
        <v>18</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2446</v>
      </c>
      <c r="B2360" t="s">
        <v>31</v>
      </c>
      <c r="C2360">
        <v>4</v>
      </c>
      <c r="D2360">
        <v>73.8</v>
      </c>
      <c r="E2360">
        <v>295.2</v>
      </c>
      <c r="F2360" s="1">
        <v>45744</v>
      </c>
      <c r="G2360" s="1">
        <v>45745</v>
      </c>
      <c r="H2360" t="s">
        <v>8</v>
      </c>
      <c r="I2360" t="s">
        <v>55</v>
      </c>
      <c r="J2360">
        <v>4</v>
      </c>
      <c r="K2360" t="s">
        <v>4</v>
      </c>
      <c r="L2360" t="s">
        <v>18</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2447</v>
      </c>
      <c r="B2361" t="s">
        <v>29</v>
      </c>
      <c r="C2361">
        <v>5</v>
      </c>
      <c r="D2361">
        <v>27</v>
      </c>
      <c r="E2361">
        <v>135</v>
      </c>
      <c r="F2361" s="1">
        <v>45744</v>
      </c>
      <c r="G2361" s="1">
        <v>45747</v>
      </c>
      <c r="H2361" t="s">
        <v>12</v>
      </c>
      <c r="I2361" t="s">
        <v>25</v>
      </c>
      <c r="J2361">
        <v>5</v>
      </c>
      <c r="K2361" t="s">
        <v>4</v>
      </c>
      <c r="L2361" t="s">
        <v>18</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2448</v>
      </c>
      <c r="B2362" t="s">
        <v>29</v>
      </c>
      <c r="C2362">
        <v>6</v>
      </c>
      <c r="D2362">
        <v>60.1</v>
      </c>
      <c r="E2362">
        <v>360.6</v>
      </c>
      <c r="F2362" s="1">
        <v>45744</v>
      </c>
      <c r="G2362" s="1">
        <v>45745</v>
      </c>
      <c r="H2362" t="s">
        <v>8</v>
      </c>
      <c r="I2362" t="s">
        <v>36</v>
      </c>
      <c r="J2362">
        <v>4</v>
      </c>
      <c r="K2362" t="s">
        <v>4</v>
      </c>
      <c r="L2362" t="s">
        <v>18</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2449</v>
      </c>
      <c r="B2363" t="s">
        <v>11</v>
      </c>
      <c r="C2363">
        <v>7</v>
      </c>
      <c r="D2363">
        <v>94.1</v>
      </c>
      <c r="E2363">
        <v>658.69999999999993</v>
      </c>
      <c r="F2363" s="1">
        <v>45744</v>
      </c>
      <c r="G2363" s="1">
        <v>45746</v>
      </c>
      <c r="H2363" t="s">
        <v>12</v>
      </c>
      <c r="I2363" t="s">
        <v>55</v>
      </c>
      <c r="J2363">
        <v>3</v>
      </c>
      <c r="K2363" t="s">
        <v>4</v>
      </c>
      <c r="L2363" t="s">
        <v>18</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2450</v>
      </c>
      <c r="B2364" t="s">
        <v>11</v>
      </c>
      <c r="C2364">
        <v>2</v>
      </c>
      <c r="D2364">
        <v>124.1</v>
      </c>
      <c r="E2364">
        <v>248.2</v>
      </c>
      <c r="F2364" s="1">
        <v>45744</v>
      </c>
      <c r="G2364" s="1">
        <v>45744</v>
      </c>
      <c r="H2364" t="s">
        <v>12</v>
      </c>
      <c r="I2364" t="s">
        <v>25</v>
      </c>
      <c r="J2364">
        <v>1</v>
      </c>
      <c r="K2364" t="s">
        <v>4</v>
      </c>
      <c r="L2364" t="s">
        <v>530</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2451</v>
      </c>
      <c r="B2365" t="s">
        <v>29</v>
      </c>
      <c r="C2365">
        <v>4</v>
      </c>
      <c r="D2365">
        <v>16.899999999999999</v>
      </c>
      <c r="E2365">
        <v>67.599999999999994</v>
      </c>
      <c r="F2365" s="1">
        <v>45744</v>
      </c>
      <c r="G2365" s="1">
        <v>45747</v>
      </c>
      <c r="H2365" t="s">
        <v>8</v>
      </c>
      <c r="I2365" t="s">
        <v>36</v>
      </c>
      <c r="J2365">
        <v>4</v>
      </c>
      <c r="K2365" t="s">
        <v>4</v>
      </c>
      <c r="L2365" t="s">
        <v>40</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2452</v>
      </c>
      <c r="B2366" t="s">
        <v>7</v>
      </c>
      <c r="C2366">
        <v>1</v>
      </c>
      <c r="D2366">
        <v>36.9</v>
      </c>
      <c r="E2366">
        <v>36.9</v>
      </c>
      <c r="F2366" s="1">
        <v>45744</v>
      </c>
      <c r="G2366" s="1">
        <v>45745</v>
      </c>
      <c r="H2366" t="s">
        <v>8</v>
      </c>
      <c r="I2366" t="s">
        <v>3</v>
      </c>
      <c r="J2366">
        <v>4</v>
      </c>
      <c r="K2366" t="s">
        <v>4</v>
      </c>
      <c r="L2366" t="s">
        <v>40</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2453</v>
      </c>
      <c r="B2367" t="s">
        <v>31</v>
      </c>
      <c r="C2367">
        <v>2</v>
      </c>
      <c r="D2367">
        <v>22.6</v>
      </c>
      <c r="E2367">
        <v>45.2</v>
      </c>
      <c r="F2367" s="1">
        <v>45744</v>
      </c>
      <c r="G2367" s="1">
        <v>45757</v>
      </c>
      <c r="H2367" t="s">
        <v>12</v>
      </c>
      <c r="I2367" t="s">
        <v>25</v>
      </c>
      <c r="J2367">
        <v>3</v>
      </c>
      <c r="K2367" t="s">
        <v>4</v>
      </c>
      <c r="L2367" t="s">
        <v>47</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2454</v>
      </c>
      <c r="B2368" t="s">
        <v>27</v>
      </c>
      <c r="C2368">
        <v>4</v>
      </c>
      <c r="D2368">
        <v>35</v>
      </c>
      <c r="E2368">
        <v>140</v>
      </c>
      <c r="F2368" s="1">
        <v>45744</v>
      </c>
      <c r="G2368" s="1">
        <v>45749</v>
      </c>
      <c r="H2368" t="s">
        <v>8</v>
      </c>
      <c r="I2368" t="s">
        <v>36</v>
      </c>
      <c r="J2368">
        <v>3</v>
      </c>
      <c r="K2368" t="s">
        <v>4</v>
      </c>
      <c r="L2368" t="s">
        <v>47</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2455</v>
      </c>
      <c r="B2369" t="s">
        <v>31</v>
      </c>
      <c r="C2369">
        <v>6</v>
      </c>
      <c r="D2369">
        <v>63.6</v>
      </c>
      <c r="E2369">
        <v>381.6</v>
      </c>
      <c r="F2369" s="1">
        <v>45744</v>
      </c>
      <c r="G2369" s="1">
        <v>45751</v>
      </c>
      <c r="H2369" t="s">
        <v>2</v>
      </c>
      <c r="I2369" t="s">
        <v>20</v>
      </c>
      <c r="J2369">
        <v>5</v>
      </c>
      <c r="K2369" t="s">
        <v>4</v>
      </c>
      <c r="L2369" t="s">
        <v>47</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2456</v>
      </c>
      <c r="B2370" t="s">
        <v>108</v>
      </c>
      <c r="C2370">
        <v>4</v>
      </c>
      <c r="D2370">
        <v>78.599999999999994</v>
      </c>
      <c r="E2370">
        <v>314.39999999999998</v>
      </c>
      <c r="F2370" s="1">
        <v>45744</v>
      </c>
      <c r="G2370" s="1">
        <v>45745</v>
      </c>
      <c r="H2370" t="s">
        <v>8</v>
      </c>
      <c r="I2370" t="s">
        <v>55</v>
      </c>
      <c r="J2370">
        <v>3</v>
      </c>
      <c r="K2370" t="s">
        <v>4</v>
      </c>
      <c r="L2370" t="s">
        <v>47</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2457</v>
      </c>
      <c r="B2371" t="s">
        <v>15</v>
      </c>
      <c r="C2371">
        <v>2</v>
      </c>
      <c r="D2371">
        <v>38.5</v>
      </c>
      <c r="E2371">
        <v>77</v>
      </c>
      <c r="F2371" s="1">
        <v>45744</v>
      </c>
      <c r="G2371" s="1">
        <v>45745</v>
      </c>
      <c r="H2371" t="s">
        <v>8</v>
      </c>
      <c r="I2371" t="s">
        <v>3</v>
      </c>
      <c r="J2371">
        <v>5</v>
      </c>
      <c r="K2371" t="s">
        <v>4</v>
      </c>
      <c r="L2371" t="s">
        <v>47</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2458</v>
      </c>
      <c r="B2372" t="s">
        <v>29</v>
      </c>
      <c r="C2372">
        <v>11</v>
      </c>
      <c r="D2372">
        <v>71.5</v>
      </c>
      <c r="E2372">
        <v>786.5</v>
      </c>
      <c r="F2372" s="1">
        <v>45744</v>
      </c>
      <c r="G2372" s="1">
        <v>45745</v>
      </c>
      <c r="H2372" t="s">
        <v>12</v>
      </c>
      <c r="I2372" t="s">
        <v>20</v>
      </c>
      <c r="J2372">
        <v>2</v>
      </c>
      <c r="K2372" t="s">
        <v>4</v>
      </c>
      <c r="L2372" t="s">
        <v>47</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2459</v>
      </c>
      <c r="B2373" t="s">
        <v>24</v>
      </c>
      <c r="C2373">
        <v>4</v>
      </c>
      <c r="D2373">
        <v>121.4</v>
      </c>
      <c r="E2373">
        <v>485.6</v>
      </c>
      <c r="F2373" s="1">
        <v>45744</v>
      </c>
      <c r="G2373" s="1">
        <v>45748</v>
      </c>
      <c r="H2373" t="s">
        <v>8</v>
      </c>
      <c r="I2373" t="s">
        <v>20</v>
      </c>
      <c r="J2373">
        <v>5</v>
      </c>
      <c r="K2373" t="s">
        <v>4</v>
      </c>
      <c r="L2373" t="s">
        <v>88</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2460</v>
      </c>
      <c r="B2374" t="s">
        <v>52</v>
      </c>
      <c r="C2374">
        <v>1</v>
      </c>
      <c r="D2374">
        <v>40.200000000000003</v>
      </c>
      <c r="E2374">
        <v>40.200000000000003</v>
      </c>
      <c r="F2374" s="1">
        <v>45744</v>
      </c>
      <c r="G2374" s="1">
        <v>45747</v>
      </c>
      <c r="H2374" t="s">
        <v>12</v>
      </c>
      <c r="I2374" t="s">
        <v>3</v>
      </c>
      <c r="J2374">
        <v>5</v>
      </c>
      <c r="K2374" t="s">
        <v>4</v>
      </c>
      <c r="L2374" t="s">
        <v>62</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2461</v>
      </c>
      <c r="B2375" t="s">
        <v>22</v>
      </c>
      <c r="C2375">
        <v>5</v>
      </c>
      <c r="D2375">
        <v>31.9</v>
      </c>
      <c r="E2375">
        <v>159.5</v>
      </c>
      <c r="F2375" s="1">
        <v>45744</v>
      </c>
      <c r="G2375" s="1">
        <v>45746</v>
      </c>
      <c r="H2375" t="s">
        <v>12</v>
      </c>
      <c r="I2375" t="s">
        <v>25</v>
      </c>
      <c r="J2375">
        <v>5</v>
      </c>
      <c r="K2375" t="s">
        <v>4</v>
      </c>
      <c r="L2375" t="s">
        <v>228</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2462</v>
      </c>
      <c r="B2376" t="s">
        <v>66</v>
      </c>
      <c r="C2376">
        <v>5</v>
      </c>
      <c r="D2376">
        <v>15.8</v>
      </c>
      <c r="E2376">
        <v>79</v>
      </c>
      <c r="F2376" s="1">
        <v>45745</v>
      </c>
      <c r="G2376" s="1">
        <v>45746</v>
      </c>
      <c r="H2376" t="s">
        <v>8</v>
      </c>
      <c r="I2376" t="s">
        <v>36</v>
      </c>
      <c r="J2376">
        <v>5</v>
      </c>
      <c r="K2376" t="s">
        <v>4</v>
      </c>
      <c r="L2376" t="s">
        <v>100</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2463</v>
      </c>
      <c r="B2377" t="s">
        <v>39</v>
      </c>
      <c r="C2377">
        <v>2</v>
      </c>
      <c r="D2377">
        <v>25.1</v>
      </c>
      <c r="E2377">
        <v>50.2</v>
      </c>
      <c r="F2377" s="1">
        <v>45745</v>
      </c>
      <c r="G2377" s="1">
        <v>45747</v>
      </c>
      <c r="H2377" t="s">
        <v>2</v>
      </c>
      <c r="I2377" t="s">
        <v>20</v>
      </c>
      <c r="J2377">
        <v>4</v>
      </c>
      <c r="K2377" t="s">
        <v>4</v>
      </c>
      <c r="L2377" t="s">
        <v>100</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2464</v>
      </c>
      <c r="B2378" t="s">
        <v>7</v>
      </c>
      <c r="C2378">
        <v>23</v>
      </c>
      <c r="D2378">
        <v>38.1</v>
      </c>
      <c r="E2378">
        <v>876.30000000000007</v>
      </c>
      <c r="F2378" s="1">
        <v>45745</v>
      </c>
      <c r="G2378" s="1">
        <v>45746</v>
      </c>
      <c r="H2378" t="s">
        <v>12</v>
      </c>
      <c r="I2378" t="s">
        <v>55</v>
      </c>
      <c r="J2378">
        <v>4</v>
      </c>
      <c r="K2378" t="s">
        <v>4</v>
      </c>
      <c r="L2378" t="s">
        <v>9</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2465</v>
      </c>
      <c r="B2379" t="s">
        <v>15</v>
      </c>
      <c r="C2379">
        <v>2</v>
      </c>
      <c r="D2379">
        <v>42.2</v>
      </c>
      <c r="E2379">
        <v>84.4</v>
      </c>
      <c r="F2379" s="1">
        <v>45745</v>
      </c>
      <c r="G2379" s="1">
        <v>45747</v>
      </c>
      <c r="H2379" t="s">
        <v>12</v>
      </c>
      <c r="I2379" t="s">
        <v>3</v>
      </c>
      <c r="J2379">
        <v>5</v>
      </c>
      <c r="K2379" t="s">
        <v>4</v>
      </c>
      <c r="L2379" t="s">
        <v>9</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2466</v>
      </c>
      <c r="B2380" t="s">
        <v>1</v>
      </c>
      <c r="C2380">
        <v>10</v>
      </c>
      <c r="D2380">
        <v>12.3</v>
      </c>
      <c r="E2380">
        <v>123</v>
      </c>
      <c r="F2380" s="1">
        <v>45745</v>
      </c>
      <c r="G2380" s="1">
        <v>45746</v>
      </c>
      <c r="H2380" t="s">
        <v>12</v>
      </c>
      <c r="I2380" t="s">
        <v>55</v>
      </c>
      <c r="J2380">
        <v>4</v>
      </c>
      <c r="K2380" t="s">
        <v>4</v>
      </c>
      <c r="L2380" t="s">
        <v>13</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2467</v>
      </c>
      <c r="B2381" t="s">
        <v>27</v>
      </c>
      <c r="C2381">
        <v>1</v>
      </c>
      <c r="D2381">
        <v>30.2</v>
      </c>
      <c r="E2381">
        <v>30.2</v>
      </c>
      <c r="F2381" s="1">
        <v>45745</v>
      </c>
      <c r="G2381" s="1">
        <v>45747</v>
      </c>
      <c r="H2381" t="s">
        <v>12</v>
      </c>
      <c r="I2381" t="s">
        <v>20</v>
      </c>
      <c r="J2381">
        <v>5</v>
      </c>
      <c r="K2381" t="s">
        <v>4</v>
      </c>
      <c r="L2381" t="s">
        <v>319</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2468</v>
      </c>
      <c r="B2382" t="s">
        <v>22</v>
      </c>
      <c r="C2382">
        <v>3</v>
      </c>
      <c r="D2382">
        <v>25.3</v>
      </c>
      <c r="E2382">
        <v>75.900000000000006</v>
      </c>
      <c r="F2382" s="1">
        <v>45745</v>
      </c>
      <c r="G2382" s="1">
        <v>45748</v>
      </c>
      <c r="H2382" t="s">
        <v>12</v>
      </c>
      <c r="I2382" t="s">
        <v>25</v>
      </c>
      <c r="J2382">
        <v>4</v>
      </c>
      <c r="K2382" t="s">
        <v>4</v>
      </c>
      <c r="L2382" t="s">
        <v>18</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2469</v>
      </c>
      <c r="B2383" t="s">
        <v>29</v>
      </c>
      <c r="C2383">
        <v>5</v>
      </c>
      <c r="D2383">
        <v>29.7</v>
      </c>
      <c r="E2383">
        <v>148.5</v>
      </c>
      <c r="F2383" s="1">
        <v>45745</v>
      </c>
      <c r="G2383" s="1">
        <v>45747</v>
      </c>
      <c r="H2383" t="s">
        <v>8</v>
      </c>
      <c r="I2383" t="s">
        <v>36</v>
      </c>
      <c r="J2383">
        <v>4</v>
      </c>
      <c r="K2383" t="s">
        <v>4</v>
      </c>
      <c r="L2383" t="s">
        <v>18</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2470</v>
      </c>
      <c r="B2384" t="s">
        <v>31</v>
      </c>
      <c r="C2384">
        <v>8</v>
      </c>
      <c r="D2384">
        <v>32.9</v>
      </c>
      <c r="E2384">
        <v>263.2</v>
      </c>
      <c r="F2384" s="1">
        <v>45745</v>
      </c>
      <c r="G2384" s="1">
        <v>45746</v>
      </c>
      <c r="H2384" t="s">
        <v>2</v>
      </c>
      <c r="I2384" t="s">
        <v>36</v>
      </c>
      <c r="J2384">
        <v>5</v>
      </c>
      <c r="K2384" t="s">
        <v>4</v>
      </c>
      <c r="L2384" t="s">
        <v>18</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2471</v>
      </c>
      <c r="B2385" t="s">
        <v>39</v>
      </c>
      <c r="C2385">
        <v>2</v>
      </c>
      <c r="D2385">
        <v>43.6</v>
      </c>
      <c r="E2385">
        <v>87.2</v>
      </c>
      <c r="F2385" s="1">
        <v>45745</v>
      </c>
      <c r="G2385" s="1">
        <v>45746</v>
      </c>
      <c r="H2385" t="s">
        <v>8</v>
      </c>
      <c r="I2385" t="s">
        <v>20</v>
      </c>
      <c r="J2385">
        <v>5</v>
      </c>
      <c r="K2385" t="s">
        <v>4</v>
      </c>
      <c r="L2385" t="s">
        <v>18</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2472</v>
      </c>
      <c r="B2386" t="s">
        <v>108</v>
      </c>
      <c r="C2386">
        <v>4</v>
      </c>
      <c r="D2386">
        <v>78.400000000000006</v>
      </c>
      <c r="E2386">
        <v>313.60000000000002</v>
      </c>
      <c r="F2386" s="1">
        <v>45745</v>
      </c>
      <c r="G2386" s="1">
        <v>45746</v>
      </c>
      <c r="H2386" t="s">
        <v>8</v>
      </c>
      <c r="I2386" t="s">
        <v>25</v>
      </c>
      <c r="J2386">
        <v>4</v>
      </c>
      <c r="K2386" t="s">
        <v>4</v>
      </c>
      <c r="L2386" t="s">
        <v>18</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2473</v>
      </c>
      <c r="B2387" t="s">
        <v>24</v>
      </c>
      <c r="C2387">
        <v>2</v>
      </c>
      <c r="D2387">
        <v>56.5</v>
      </c>
      <c r="E2387">
        <v>113</v>
      </c>
      <c r="F2387" s="1">
        <v>45745</v>
      </c>
      <c r="G2387" s="1">
        <v>45749</v>
      </c>
      <c r="H2387" t="s">
        <v>8</v>
      </c>
      <c r="I2387" t="s">
        <v>20</v>
      </c>
      <c r="J2387">
        <v>3</v>
      </c>
      <c r="K2387" t="s">
        <v>4</v>
      </c>
      <c r="L2387" t="s">
        <v>18</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2474</v>
      </c>
      <c r="B2388" t="s">
        <v>113</v>
      </c>
      <c r="C2388">
        <v>1</v>
      </c>
      <c r="D2388">
        <v>36.700000000000003</v>
      </c>
      <c r="E2388">
        <v>36.700000000000003</v>
      </c>
      <c r="F2388" s="1">
        <v>45745</v>
      </c>
      <c r="G2388" s="1">
        <v>45746</v>
      </c>
      <c r="H2388" t="s">
        <v>12</v>
      </c>
      <c r="I2388" t="s">
        <v>3</v>
      </c>
      <c r="J2388">
        <v>5</v>
      </c>
      <c r="K2388" t="s">
        <v>4</v>
      </c>
      <c r="L2388" t="s">
        <v>18</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2475</v>
      </c>
      <c r="B2389" t="s">
        <v>11</v>
      </c>
      <c r="C2389">
        <v>4</v>
      </c>
      <c r="D2389">
        <v>103.6</v>
      </c>
      <c r="E2389">
        <v>414.4</v>
      </c>
      <c r="F2389" s="1">
        <v>45745</v>
      </c>
      <c r="G2389" s="1">
        <v>45756</v>
      </c>
      <c r="H2389" t="s">
        <v>8</v>
      </c>
      <c r="I2389" t="s">
        <v>55</v>
      </c>
      <c r="J2389">
        <v>5</v>
      </c>
      <c r="K2389" t="s">
        <v>4</v>
      </c>
      <c r="L2389" t="s">
        <v>18</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2476</v>
      </c>
      <c r="B2390" t="s">
        <v>29</v>
      </c>
      <c r="C2390">
        <v>6</v>
      </c>
      <c r="D2390">
        <v>16.2</v>
      </c>
      <c r="E2390">
        <v>97.199999999999989</v>
      </c>
      <c r="F2390" s="1">
        <v>45745</v>
      </c>
      <c r="G2390" s="1">
        <v>45749</v>
      </c>
      <c r="H2390" t="s">
        <v>8</v>
      </c>
      <c r="I2390" t="s">
        <v>20</v>
      </c>
      <c r="J2390">
        <v>5</v>
      </c>
      <c r="K2390" t="s">
        <v>4</v>
      </c>
      <c r="L2390" t="s">
        <v>40</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2477</v>
      </c>
      <c r="B2391" t="s">
        <v>29</v>
      </c>
      <c r="C2391">
        <v>2</v>
      </c>
      <c r="D2391">
        <v>20.2</v>
      </c>
      <c r="E2391">
        <v>40.4</v>
      </c>
      <c r="F2391" s="1">
        <v>45745</v>
      </c>
      <c r="G2391" s="1">
        <v>45746</v>
      </c>
      <c r="H2391" t="s">
        <v>12</v>
      </c>
      <c r="I2391" t="s">
        <v>3</v>
      </c>
      <c r="J2391">
        <v>4</v>
      </c>
      <c r="K2391" t="s">
        <v>4</v>
      </c>
      <c r="L2391" t="s">
        <v>40</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2478</v>
      </c>
      <c r="B2392" t="s">
        <v>52</v>
      </c>
      <c r="C2392">
        <v>2</v>
      </c>
      <c r="D2392">
        <v>26.9</v>
      </c>
      <c r="E2392">
        <v>53.8</v>
      </c>
      <c r="F2392" s="1">
        <v>45745</v>
      </c>
      <c r="G2392" s="1">
        <v>45747</v>
      </c>
      <c r="H2392" t="s">
        <v>12</v>
      </c>
      <c r="I2392" t="s">
        <v>25</v>
      </c>
      <c r="J2392">
        <v>4</v>
      </c>
      <c r="K2392" t="s">
        <v>4</v>
      </c>
      <c r="L2392" t="s">
        <v>40</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2479</v>
      </c>
      <c r="B2393" t="s">
        <v>7</v>
      </c>
      <c r="C2393">
        <v>2</v>
      </c>
      <c r="D2393">
        <v>82.4</v>
      </c>
      <c r="E2393">
        <v>164.8</v>
      </c>
      <c r="F2393" s="1">
        <v>45745</v>
      </c>
      <c r="G2393" s="1">
        <v>45748</v>
      </c>
      <c r="H2393" t="s">
        <v>2</v>
      </c>
      <c r="I2393" t="s">
        <v>3</v>
      </c>
      <c r="J2393">
        <v>4</v>
      </c>
      <c r="K2393" t="s">
        <v>4</v>
      </c>
      <c r="L2393" t="s">
        <v>44</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2480</v>
      </c>
      <c r="B2394" t="s">
        <v>11</v>
      </c>
      <c r="C2394">
        <v>2</v>
      </c>
      <c r="D2394">
        <v>117.8</v>
      </c>
      <c r="E2394">
        <v>235.6</v>
      </c>
      <c r="F2394" s="1">
        <v>45745</v>
      </c>
      <c r="G2394" s="1">
        <v>45747</v>
      </c>
      <c r="H2394" t="s">
        <v>8</v>
      </c>
      <c r="I2394" t="s">
        <v>20</v>
      </c>
      <c r="J2394">
        <v>5</v>
      </c>
      <c r="K2394" t="s">
        <v>4</v>
      </c>
      <c r="L2394" t="s">
        <v>47</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2481</v>
      </c>
      <c r="B2395" t="s">
        <v>52</v>
      </c>
      <c r="C2395">
        <v>4</v>
      </c>
      <c r="D2395">
        <v>36.700000000000003</v>
      </c>
      <c r="E2395">
        <v>146.80000000000001</v>
      </c>
      <c r="F2395" s="1">
        <v>45745</v>
      </c>
      <c r="G2395" s="1">
        <v>45746</v>
      </c>
      <c r="H2395" t="s">
        <v>8</v>
      </c>
      <c r="I2395" t="s">
        <v>20</v>
      </c>
      <c r="J2395">
        <v>4</v>
      </c>
      <c r="K2395" t="s">
        <v>4</v>
      </c>
      <c r="L2395" t="s">
        <v>47</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2482</v>
      </c>
      <c r="B2396" t="s">
        <v>120</v>
      </c>
      <c r="C2396">
        <v>3</v>
      </c>
      <c r="D2396">
        <v>46.8</v>
      </c>
      <c r="E2396">
        <v>140.39999999999998</v>
      </c>
      <c r="F2396" s="1">
        <v>45745</v>
      </c>
      <c r="G2396" s="1">
        <v>45746</v>
      </c>
      <c r="H2396" t="s">
        <v>8</v>
      </c>
      <c r="I2396" t="s">
        <v>55</v>
      </c>
      <c r="J2396">
        <v>5</v>
      </c>
      <c r="K2396" t="s">
        <v>4</v>
      </c>
      <c r="L2396" t="s">
        <v>59</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2483</v>
      </c>
      <c r="B2397" t="s">
        <v>15</v>
      </c>
      <c r="C2397">
        <v>1</v>
      </c>
      <c r="D2397">
        <v>61.4</v>
      </c>
      <c r="E2397">
        <v>61.4</v>
      </c>
      <c r="F2397" s="1">
        <v>45745</v>
      </c>
      <c r="G2397" s="1">
        <v>45746</v>
      </c>
      <c r="H2397" t="s">
        <v>8</v>
      </c>
      <c r="I2397" t="s">
        <v>20</v>
      </c>
      <c r="J2397">
        <v>4</v>
      </c>
      <c r="K2397" t="s">
        <v>4</v>
      </c>
      <c r="L2397" t="s">
        <v>59</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2484</v>
      </c>
      <c r="B2398" t="s">
        <v>108</v>
      </c>
      <c r="C2398">
        <v>2</v>
      </c>
      <c r="D2398">
        <v>22.9</v>
      </c>
      <c r="E2398">
        <v>45.8</v>
      </c>
      <c r="F2398" s="1">
        <v>45745</v>
      </c>
      <c r="G2398" s="1">
        <v>45746</v>
      </c>
      <c r="H2398" t="s">
        <v>8</v>
      </c>
      <c r="I2398" t="s">
        <v>3</v>
      </c>
      <c r="J2398">
        <v>4</v>
      </c>
      <c r="K2398" t="s">
        <v>4</v>
      </c>
      <c r="L2398" t="s">
        <v>62</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2485</v>
      </c>
      <c r="B2399" t="s">
        <v>39</v>
      </c>
      <c r="C2399">
        <v>2</v>
      </c>
      <c r="D2399">
        <v>22.1</v>
      </c>
      <c r="E2399">
        <v>44.2</v>
      </c>
      <c r="F2399" s="1">
        <v>45745</v>
      </c>
      <c r="G2399" s="1">
        <v>45746</v>
      </c>
      <c r="H2399" t="s">
        <v>12</v>
      </c>
      <c r="I2399" t="s">
        <v>55</v>
      </c>
      <c r="J2399">
        <v>4</v>
      </c>
      <c r="K2399" t="s">
        <v>4</v>
      </c>
      <c r="L2399" t="s">
        <v>62</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2486</v>
      </c>
      <c r="B2400" t="s">
        <v>54</v>
      </c>
      <c r="C2400">
        <v>2</v>
      </c>
      <c r="D2400">
        <v>31</v>
      </c>
      <c r="E2400">
        <v>62</v>
      </c>
      <c r="F2400" s="1">
        <v>45745</v>
      </c>
      <c r="G2400" s="1">
        <v>45747</v>
      </c>
      <c r="H2400" t="s">
        <v>12</v>
      </c>
      <c r="I2400" t="s">
        <v>25</v>
      </c>
      <c r="J2400">
        <v>4</v>
      </c>
      <c r="K2400" t="s">
        <v>4</v>
      </c>
      <c r="L2400" t="s">
        <v>93</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2487</v>
      </c>
      <c r="B2401" t="s">
        <v>131</v>
      </c>
      <c r="C2401">
        <v>2</v>
      </c>
      <c r="D2401">
        <v>84.2</v>
      </c>
      <c r="E2401">
        <v>168.4</v>
      </c>
      <c r="F2401" s="1">
        <v>45745</v>
      </c>
      <c r="G2401" s="1">
        <v>45747</v>
      </c>
      <c r="H2401" t="s">
        <v>8</v>
      </c>
      <c r="I2401" t="s">
        <v>25</v>
      </c>
      <c r="J2401">
        <v>5</v>
      </c>
      <c r="K2401" t="s">
        <v>4</v>
      </c>
      <c r="L2401" t="s">
        <v>67</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59AB9-7DCD-4E05-8D72-AE0CBC1BB83C}">
  <dimension ref="B2:B18"/>
  <sheetViews>
    <sheetView workbookViewId="0">
      <selection activeCell="B3" sqref="B3"/>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5526A-BC0D-49A3-89FB-F57685CCCF90}">
  <dimension ref="A2:L10"/>
  <sheetViews>
    <sheetView showGridLines="0" workbookViewId="0">
      <selection activeCell="B7" sqref="B7"/>
    </sheetView>
  </sheetViews>
  <sheetFormatPr defaultRowHeight="14.5" x14ac:dyDescent="0.35"/>
  <cols>
    <col min="1" max="1" width="14" bestFit="1" customWidth="1"/>
    <col min="2" max="2" width="15.26953125" bestFit="1" customWidth="1"/>
    <col min="3" max="3" width="6.81640625" bestFit="1" customWidth="1"/>
    <col min="4" max="4" width="5.81640625" bestFit="1" customWidth="1"/>
    <col min="5" max="5" width="8.90625" bestFit="1" customWidth="1"/>
    <col min="6" max="6" width="10.7265625" bestFit="1" customWidth="1"/>
    <col min="8" max="8" width="11.36328125" customWidth="1"/>
  </cols>
  <sheetData>
    <row r="2" spans="1:12" x14ac:dyDescent="0.35">
      <c r="H2" t="s">
        <v>2535</v>
      </c>
    </row>
    <row r="3" spans="1:12" x14ac:dyDescent="0.35">
      <c r="A3" s="5" t="s">
        <v>2522</v>
      </c>
      <c r="B3" s="5" t="s">
        <v>2534</v>
      </c>
    </row>
    <row r="4" spans="1:12" ht="15" thickBot="1" x14ac:dyDescent="0.4">
      <c r="A4" s="5" t="s">
        <v>2518</v>
      </c>
      <c r="B4" t="s">
        <v>2532</v>
      </c>
      <c r="C4" t="s">
        <v>2531</v>
      </c>
      <c r="D4" t="s">
        <v>2533</v>
      </c>
      <c r="E4" t="s">
        <v>2530</v>
      </c>
      <c r="F4" t="s">
        <v>2519</v>
      </c>
      <c r="H4" s="9"/>
      <c r="I4" s="10" t="str">
        <f>B4</f>
        <v>Female</v>
      </c>
      <c r="J4" s="10" t="str">
        <f t="shared" ref="J4:L4" si="0">C4</f>
        <v>Male</v>
      </c>
      <c r="K4" s="10" t="str">
        <f t="shared" si="0"/>
        <v>Other</v>
      </c>
      <c r="L4" s="11" t="str">
        <f t="shared" si="0"/>
        <v>Unknown</v>
      </c>
    </row>
    <row r="5" spans="1:12" ht="29" customHeight="1" thickTop="1" thickBot="1" x14ac:dyDescent="0.4">
      <c r="A5" s="6" t="s">
        <v>3</v>
      </c>
      <c r="B5" s="8">
        <v>0.18961825201634841</v>
      </c>
      <c r="C5" s="8">
        <v>0.12262322351336576</v>
      </c>
      <c r="D5" s="8">
        <v>1.060537752469185E-2</v>
      </c>
      <c r="E5" s="8">
        <v>3.0599220547662797E-2</v>
      </c>
      <c r="F5" s="8">
        <v>0.35344607360206881</v>
      </c>
      <c r="H5" s="12" t="str">
        <f>A5</f>
        <v>App</v>
      </c>
      <c r="I5" s="13">
        <f t="shared" ref="I5:L9" si="1">B5</f>
        <v>0.18961825201634841</v>
      </c>
      <c r="J5" s="13">
        <f t="shared" si="1"/>
        <v>0.12262322351336576</v>
      </c>
      <c r="K5" s="13">
        <f t="shared" si="1"/>
        <v>1.060537752469185E-2</v>
      </c>
      <c r="L5" s="14">
        <f t="shared" si="1"/>
        <v>3.0599220547662797E-2</v>
      </c>
    </row>
    <row r="6" spans="1:12" ht="30" customHeight="1" thickTop="1" thickBot="1" x14ac:dyDescent="0.4">
      <c r="A6" s="6" t="s">
        <v>36</v>
      </c>
      <c r="B6" s="8">
        <v>5.0283982091147303E-2</v>
      </c>
      <c r="C6" s="8">
        <v>4.3060781812819873E-2</v>
      </c>
      <c r="D6" s="8">
        <v>1.5320025675641944E-3</v>
      </c>
      <c r="E6" s="8">
        <v>1.7794988689097006E-2</v>
      </c>
      <c r="F6" s="8">
        <v>0.11267175516062837</v>
      </c>
      <c r="H6" s="12" t="str">
        <f t="shared" ref="H6:H9" si="2">A6</f>
        <v>Instagram</v>
      </c>
      <c r="I6" s="13">
        <f t="shared" si="1"/>
        <v>5.0283982091147303E-2</v>
      </c>
      <c r="J6" s="13">
        <f t="shared" si="1"/>
        <v>4.3060781812819873E-2</v>
      </c>
      <c r="K6" s="13">
        <f t="shared" si="1"/>
        <v>1.5320025675641944E-3</v>
      </c>
      <c r="L6" s="14">
        <f t="shared" si="1"/>
        <v>1.7794988689097006E-2</v>
      </c>
    </row>
    <row r="7" spans="1:12" ht="29" customHeight="1" thickTop="1" thickBot="1" x14ac:dyDescent="0.4">
      <c r="A7" s="6" t="s">
        <v>55</v>
      </c>
      <c r="B7" s="8">
        <v>6.3496059750411282E-2</v>
      </c>
      <c r="C7" s="8">
        <v>4.6071629863988765E-2</v>
      </c>
      <c r="D7" s="8">
        <v>2.306247051322625E-3</v>
      </c>
      <c r="E7" s="8">
        <v>3.8927934093844286E-3</v>
      </c>
      <c r="F7" s="8">
        <v>0.11576673007510711</v>
      </c>
      <c r="H7" s="12" t="str">
        <f t="shared" si="2"/>
        <v>Partner App</v>
      </c>
      <c r="I7" s="13">
        <f t="shared" si="1"/>
        <v>6.3496059750411282E-2</v>
      </c>
      <c r="J7" s="13">
        <f t="shared" si="1"/>
        <v>4.6071629863988765E-2</v>
      </c>
      <c r="K7" s="13">
        <f t="shared" si="1"/>
        <v>2.306247051322625E-3</v>
      </c>
      <c r="L7" s="14">
        <f t="shared" si="1"/>
        <v>3.8927934093844286E-3</v>
      </c>
    </row>
    <row r="8" spans="1:12" ht="28.5" customHeight="1" thickTop="1" thickBot="1" x14ac:dyDescent="0.4">
      <c r="A8" s="6" t="s">
        <v>25</v>
      </c>
      <c r="B8" s="8">
        <v>9.6337892927149532E-2</v>
      </c>
      <c r="C8" s="8">
        <v>6.7920115842382611E-2</v>
      </c>
      <c r="D8" s="8">
        <v>5.4979832664581261E-3</v>
      </c>
      <c r="E8" s="8">
        <v>1.2933041488102518E-2</v>
      </c>
      <c r="F8" s="8">
        <v>0.1826890335240928</v>
      </c>
      <c r="H8" s="12" t="str">
        <f t="shared" si="2"/>
        <v>Target.com</v>
      </c>
      <c r="I8" s="13">
        <f t="shared" si="1"/>
        <v>9.6337892927149532E-2</v>
      </c>
      <c r="J8" s="13">
        <f t="shared" si="1"/>
        <v>6.7920115842382611E-2</v>
      </c>
      <c r="K8" s="13">
        <f t="shared" si="1"/>
        <v>5.4979832664581261E-3</v>
      </c>
      <c r="L8" s="14">
        <f t="shared" si="1"/>
        <v>1.2933041488102518E-2</v>
      </c>
    </row>
    <row r="9" spans="1:12" ht="29" customHeight="1" thickTop="1" x14ac:dyDescent="0.35">
      <c r="A9" s="6" t="s">
        <v>20</v>
      </c>
      <c r="B9" s="8">
        <v>0.12522098709469262</v>
      </c>
      <c r="C9" s="8">
        <v>9.1492740283116228E-2</v>
      </c>
      <c r="D9" s="8">
        <v>6.3042760790965081E-3</v>
      </c>
      <c r="E9" s="8">
        <v>1.2408404181197551E-2</v>
      </c>
      <c r="F9" s="8">
        <v>0.23542640763810288</v>
      </c>
      <c r="H9" s="15" t="str">
        <f t="shared" si="2"/>
        <v>Website</v>
      </c>
      <c r="I9" s="16">
        <f t="shared" si="1"/>
        <v>0.12522098709469262</v>
      </c>
      <c r="J9" s="16">
        <f t="shared" si="1"/>
        <v>9.1492740283116228E-2</v>
      </c>
      <c r="K9" s="16">
        <f t="shared" si="1"/>
        <v>6.3042760790965081E-3</v>
      </c>
      <c r="L9" s="17">
        <f t="shared" si="1"/>
        <v>1.2408404181197551E-2</v>
      </c>
    </row>
    <row r="10" spans="1:12" x14ac:dyDescent="0.35">
      <c r="A10" s="6" t="s">
        <v>2519</v>
      </c>
      <c r="B10" s="8">
        <v>0.52495717387974916</v>
      </c>
      <c r="C10" s="8">
        <v>0.3711684913156732</v>
      </c>
      <c r="D10" s="8">
        <v>2.6245886489133303E-2</v>
      </c>
      <c r="E10" s="8">
        <v>7.7628448315444312E-2</v>
      </c>
      <c r="F10" s="8">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EA951-085A-444E-A8EC-14F468F66920}">
  <dimension ref="A2:M182"/>
  <sheetViews>
    <sheetView topLeftCell="A130" zoomScale="59" zoomScaleNormal="59" workbookViewId="0">
      <selection activeCell="M86" sqref="M86:M143"/>
    </sheetView>
  </sheetViews>
  <sheetFormatPr defaultRowHeight="14.5" x14ac:dyDescent="0.35"/>
  <cols>
    <col min="1" max="1" width="14.26953125" bestFit="1" customWidth="1"/>
    <col min="2" max="2" width="14.90625" bestFit="1" customWidth="1"/>
    <col min="3" max="3" width="14.453125" bestFit="1" customWidth="1"/>
    <col min="4" max="4" width="17.54296875" bestFit="1" customWidth="1"/>
    <col min="5" max="5" width="23.6328125" bestFit="1" customWidth="1"/>
    <col min="6" max="6" width="10.7265625" bestFit="1" customWidth="1"/>
    <col min="7" max="7" width="11" bestFit="1" customWidth="1"/>
    <col min="8" max="8" width="19.7265625" customWidth="1"/>
    <col min="9" max="9" width="10.453125" customWidth="1"/>
    <col min="10" max="10" width="14.26953125" bestFit="1" customWidth="1"/>
    <col min="11" max="11" width="14.90625" bestFit="1" customWidth="1"/>
    <col min="12" max="12" width="19.36328125" customWidth="1"/>
    <col min="13" max="13" width="10.453125" customWidth="1"/>
    <col min="14" max="14" width="9.1796875" bestFit="1" customWidth="1"/>
    <col min="15" max="15" width="10.7265625" bestFit="1" customWidth="1"/>
  </cols>
  <sheetData>
    <row r="2" spans="1:11" x14ac:dyDescent="0.35">
      <c r="G2" t="s">
        <v>2525</v>
      </c>
    </row>
    <row r="3" spans="1:11" x14ac:dyDescent="0.35">
      <c r="A3" t="s">
        <v>2520</v>
      </c>
      <c r="B3" t="s">
        <v>2521</v>
      </c>
      <c r="C3" t="s">
        <v>2522</v>
      </c>
      <c r="D3" t="s">
        <v>2524</v>
      </c>
      <c r="E3" t="s">
        <v>2523</v>
      </c>
      <c r="G3" t="s">
        <v>2526</v>
      </c>
      <c r="H3" t="s">
        <v>2527</v>
      </c>
      <c r="I3" t="s">
        <v>2492</v>
      </c>
      <c r="J3" t="s">
        <v>2507</v>
      </c>
      <c r="K3" t="s">
        <v>2528</v>
      </c>
    </row>
    <row r="4" spans="1:11" x14ac:dyDescent="0.35">
      <c r="A4" s="18">
        <v>2400</v>
      </c>
      <c r="B4" s="18">
        <v>11997</v>
      </c>
      <c r="C4" s="18">
        <v>649019.80000000144</v>
      </c>
      <c r="D4" s="18">
        <v>3.9620833333333332</v>
      </c>
      <c r="E4" s="18">
        <v>2.3424999999999998</v>
      </c>
      <c r="G4" t="str">
        <f>TEXT(A4,"#,##")</f>
        <v>2,400</v>
      </c>
      <c r="H4" t="str">
        <f t="shared" ref="H4" si="0">TEXT(B4,"#,##")</f>
        <v>11,997</v>
      </c>
      <c r="I4" t="str">
        <f>TEXT(C4,"$#,##,.0k")</f>
        <v>$649.0k</v>
      </c>
      <c r="J4" t="str">
        <f>TEXT(D4,"0.0")</f>
        <v>4.0</v>
      </c>
      <c r="K4" t="str">
        <f>TEXT(E4,"0.0")</f>
        <v>2.3</v>
      </c>
    </row>
    <row r="10" spans="1:11" x14ac:dyDescent="0.35">
      <c r="A10" t="s">
        <v>2529</v>
      </c>
    </row>
    <row r="12" spans="1:11" x14ac:dyDescent="0.35">
      <c r="A12" s="5" t="s">
        <v>2518</v>
      </c>
      <c r="B12" t="s">
        <v>2521</v>
      </c>
      <c r="C12" t="s">
        <v>2522</v>
      </c>
    </row>
    <row r="13" spans="1:11" x14ac:dyDescent="0.35">
      <c r="A13" s="6">
        <v>1</v>
      </c>
      <c r="B13" s="18">
        <v>546</v>
      </c>
      <c r="C13" s="7">
        <v>32413.300000000003</v>
      </c>
    </row>
    <row r="14" spans="1:11" x14ac:dyDescent="0.35">
      <c r="A14" s="6">
        <v>2</v>
      </c>
      <c r="B14" s="18">
        <v>905</v>
      </c>
      <c r="C14" s="7">
        <v>49562.999999999993</v>
      </c>
    </row>
    <row r="15" spans="1:11" x14ac:dyDescent="0.35">
      <c r="A15" s="6">
        <v>3</v>
      </c>
      <c r="B15" s="18">
        <v>796</v>
      </c>
      <c r="C15" s="7">
        <v>41700.400000000016</v>
      </c>
    </row>
    <row r="16" spans="1:11" x14ac:dyDescent="0.35">
      <c r="A16" s="6">
        <v>4</v>
      </c>
      <c r="B16" s="18">
        <v>913</v>
      </c>
      <c r="C16" s="7">
        <v>46782.599999999984</v>
      </c>
    </row>
    <row r="17" spans="1:3" x14ac:dyDescent="0.35">
      <c r="A17" s="6">
        <v>5</v>
      </c>
      <c r="B17" s="18">
        <v>844</v>
      </c>
      <c r="C17" s="7">
        <v>42676.100000000006</v>
      </c>
    </row>
    <row r="18" spans="1:3" x14ac:dyDescent="0.35">
      <c r="A18" s="6">
        <v>6</v>
      </c>
      <c r="B18" s="18">
        <v>1202</v>
      </c>
      <c r="C18" s="7">
        <v>62910.7</v>
      </c>
    </row>
    <row r="19" spans="1:3" x14ac:dyDescent="0.35">
      <c r="A19" s="6">
        <v>7</v>
      </c>
      <c r="B19" s="18">
        <v>935</v>
      </c>
      <c r="C19" s="7">
        <v>50332.200000000004</v>
      </c>
    </row>
    <row r="20" spans="1:3" x14ac:dyDescent="0.35">
      <c r="A20" s="6">
        <v>8</v>
      </c>
      <c r="B20" s="18">
        <v>1128</v>
      </c>
      <c r="C20" s="7">
        <v>58760.599999999977</v>
      </c>
    </row>
    <row r="21" spans="1:3" x14ac:dyDescent="0.35">
      <c r="A21" s="6">
        <v>9</v>
      </c>
      <c r="B21" s="18">
        <v>1007</v>
      </c>
      <c r="C21" s="7">
        <v>52017.299999999996</v>
      </c>
    </row>
    <row r="22" spans="1:3" x14ac:dyDescent="0.35">
      <c r="A22" s="6">
        <v>10</v>
      </c>
      <c r="B22" s="18">
        <v>1128</v>
      </c>
      <c r="C22" s="7">
        <v>64915.700000000033</v>
      </c>
    </row>
    <row r="23" spans="1:3" x14ac:dyDescent="0.35">
      <c r="A23" s="6">
        <v>11</v>
      </c>
      <c r="B23" s="18">
        <v>861</v>
      </c>
      <c r="C23" s="7">
        <v>45943.80000000001</v>
      </c>
    </row>
    <row r="24" spans="1:3" x14ac:dyDescent="0.35">
      <c r="A24" s="6">
        <v>12</v>
      </c>
      <c r="B24" s="18">
        <v>944</v>
      </c>
      <c r="C24" s="7">
        <v>55077.900000000031</v>
      </c>
    </row>
    <row r="25" spans="1:3" x14ac:dyDescent="0.35">
      <c r="A25" s="6">
        <v>13</v>
      </c>
      <c r="B25" s="18">
        <v>788</v>
      </c>
      <c r="C25" s="7">
        <v>45926.19999999999</v>
      </c>
    </row>
    <row r="26" spans="1:3" x14ac:dyDescent="0.35">
      <c r="A26" s="6" t="s">
        <v>2519</v>
      </c>
      <c r="B26" s="18">
        <v>11997</v>
      </c>
      <c r="C26" s="7">
        <v>649019.79999999993</v>
      </c>
    </row>
    <row r="32" spans="1:3" x14ac:dyDescent="0.35">
      <c r="A32" t="s">
        <v>2536</v>
      </c>
    </row>
    <row r="34" spans="1:2" x14ac:dyDescent="0.35">
      <c r="A34" s="5" t="s">
        <v>2518</v>
      </c>
      <c r="B34" t="s">
        <v>2520</v>
      </c>
    </row>
    <row r="35" spans="1:2" x14ac:dyDescent="0.35">
      <c r="A35" s="6">
        <v>1</v>
      </c>
      <c r="B35" s="18">
        <v>397</v>
      </c>
    </row>
    <row r="36" spans="1:2" x14ac:dyDescent="0.35">
      <c r="A36" s="6">
        <v>2</v>
      </c>
      <c r="B36" s="18">
        <v>540</v>
      </c>
    </row>
    <row r="37" spans="1:2" x14ac:dyDescent="0.35">
      <c r="A37" s="6">
        <v>3</v>
      </c>
      <c r="B37" s="18">
        <v>375</v>
      </c>
    </row>
    <row r="38" spans="1:2" x14ac:dyDescent="0.35">
      <c r="A38" s="6">
        <v>4</v>
      </c>
      <c r="B38" s="18">
        <v>246</v>
      </c>
    </row>
    <row r="39" spans="1:2" x14ac:dyDescent="0.35">
      <c r="A39" s="6">
        <v>5</v>
      </c>
      <c r="B39" s="18">
        <v>195</v>
      </c>
    </row>
    <row r="40" spans="1:2" x14ac:dyDescent="0.35">
      <c r="A40" s="6" t="s">
        <v>2537</v>
      </c>
      <c r="B40" s="18">
        <v>414</v>
      </c>
    </row>
    <row r="41" spans="1:2" x14ac:dyDescent="0.35">
      <c r="A41" s="6" t="s">
        <v>2538</v>
      </c>
      <c r="B41" s="18">
        <v>233</v>
      </c>
    </row>
    <row r="42" spans="1:2" x14ac:dyDescent="0.35">
      <c r="A42" s="6" t="s">
        <v>2519</v>
      </c>
      <c r="B42" s="18">
        <v>2400</v>
      </c>
    </row>
    <row r="49" spans="1:11" x14ac:dyDescent="0.35">
      <c r="A49" t="s">
        <v>2539</v>
      </c>
    </row>
    <row r="51" spans="1:11" x14ac:dyDescent="0.35">
      <c r="A51" s="5" t="s">
        <v>2521</v>
      </c>
      <c r="B51" s="5" t="s">
        <v>2534</v>
      </c>
      <c r="J51" s="5" t="s">
        <v>2518</v>
      </c>
      <c r="K51" t="s">
        <v>2521</v>
      </c>
    </row>
    <row r="52" spans="1:11" x14ac:dyDescent="0.35">
      <c r="A52" s="5" t="s">
        <v>2518</v>
      </c>
      <c r="B52" t="s">
        <v>2532</v>
      </c>
      <c r="C52" t="s">
        <v>2531</v>
      </c>
      <c r="D52" t="s">
        <v>2533</v>
      </c>
      <c r="E52" t="s">
        <v>2530</v>
      </c>
      <c r="F52" t="s">
        <v>2519</v>
      </c>
      <c r="J52" s="6" t="s">
        <v>2532</v>
      </c>
      <c r="K52" s="18">
        <v>6272</v>
      </c>
    </row>
    <row r="53" spans="1:11" x14ac:dyDescent="0.35">
      <c r="A53" s="6" t="s">
        <v>29</v>
      </c>
      <c r="B53" s="18">
        <v>744</v>
      </c>
      <c r="C53" s="18">
        <v>713</v>
      </c>
      <c r="D53" s="18">
        <v>90</v>
      </c>
      <c r="E53" s="18">
        <v>98</v>
      </c>
      <c r="F53" s="18">
        <v>1645</v>
      </c>
      <c r="J53" s="6" t="s">
        <v>2531</v>
      </c>
      <c r="K53" s="18">
        <v>4672</v>
      </c>
    </row>
    <row r="54" spans="1:11" x14ac:dyDescent="0.35">
      <c r="A54" s="6" t="s">
        <v>24</v>
      </c>
      <c r="B54" s="18">
        <v>716</v>
      </c>
      <c r="C54" s="18">
        <v>598</v>
      </c>
      <c r="D54" s="18">
        <v>18</v>
      </c>
      <c r="E54" s="18">
        <v>214</v>
      </c>
      <c r="F54" s="18">
        <v>1546</v>
      </c>
      <c r="J54" s="6" t="s">
        <v>2533</v>
      </c>
      <c r="K54" s="18">
        <v>317</v>
      </c>
    </row>
    <row r="55" spans="1:11" x14ac:dyDescent="0.35">
      <c r="A55" s="6" t="s">
        <v>11</v>
      </c>
      <c r="B55" s="18">
        <v>627</v>
      </c>
      <c r="C55" s="18">
        <v>393</v>
      </c>
      <c r="D55" s="18">
        <v>29</v>
      </c>
      <c r="E55" s="18">
        <v>137</v>
      </c>
      <c r="F55" s="18">
        <v>1186</v>
      </c>
      <c r="J55" s="6" t="s">
        <v>2530</v>
      </c>
      <c r="K55" s="18">
        <v>736</v>
      </c>
    </row>
    <row r="56" spans="1:11" x14ac:dyDescent="0.35">
      <c r="A56" s="6" t="s">
        <v>7</v>
      </c>
      <c r="B56" s="18">
        <v>568</v>
      </c>
      <c r="C56" s="18">
        <v>306</v>
      </c>
      <c r="D56" s="18">
        <v>22</v>
      </c>
      <c r="E56" s="18">
        <v>16</v>
      </c>
      <c r="F56" s="18">
        <v>912</v>
      </c>
      <c r="J56" s="6" t="s">
        <v>2519</v>
      </c>
      <c r="K56" s="18">
        <v>11997</v>
      </c>
    </row>
    <row r="57" spans="1:11" x14ac:dyDescent="0.35">
      <c r="A57" s="6" t="s">
        <v>39</v>
      </c>
      <c r="B57" s="18">
        <v>482</v>
      </c>
      <c r="C57" s="18">
        <v>295</v>
      </c>
      <c r="D57" s="18">
        <v>8</v>
      </c>
      <c r="E57" s="18">
        <v>22</v>
      </c>
      <c r="F57" s="18">
        <v>807</v>
      </c>
    </row>
    <row r="58" spans="1:11" x14ac:dyDescent="0.35">
      <c r="A58" s="6" t="s">
        <v>1</v>
      </c>
      <c r="B58" s="18">
        <v>428</v>
      </c>
      <c r="C58" s="18">
        <v>293</v>
      </c>
      <c r="D58" s="18"/>
      <c r="E58" s="18">
        <v>24</v>
      </c>
      <c r="F58" s="18">
        <v>745</v>
      </c>
    </row>
    <row r="59" spans="1:11" x14ac:dyDescent="0.35">
      <c r="A59" s="6" t="s">
        <v>31</v>
      </c>
      <c r="B59" s="18">
        <v>445</v>
      </c>
      <c r="C59" s="18">
        <v>202</v>
      </c>
      <c r="D59" s="18">
        <v>14</v>
      </c>
      <c r="E59" s="18">
        <v>39</v>
      </c>
      <c r="F59" s="18">
        <v>700</v>
      </c>
    </row>
    <row r="60" spans="1:11" x14ac:dyDescent="0.35">
      <c r="A60" s="6" t="s">
        <v>17</v>
      </c>
      <c r="B60" s="18">
        <v>431</v>
      </c>
      <c r="C60" s="18">
        <v>187</v>
      </c>
      <c r="D60" s="18">
        <v>14</v>
      </c>
      <c r="E60" s="18">
        <v>15</v>
      </c>
      <c r="F60" s="18">
        <v>647</v>
      </c>
    </row>
    <row r="61" spans="1:11" x14ac:dyDescent="0.35">
      <c r="A61" s="6" t="s">
        <v>27</v>
      </c>
      <c r="B61" s="18">
        <v>264</v>
      </c>
      <c r="C61" s="18">
        <v>318</v>
      </c>
      <c r="D61" s="18">
        <v>15</v>
      </c>
      <c r="E61" s="18">
        <v>9</v>
      </c>
      <c r="F61" s="18">
        <v>606</v>
      </c>
    </row>
    <row r="62" spans="1:11" x14ac:dyDescent="0.35">
      <c r="A62" s="6" t="s">
        <v>22</v>
      </c>
      <c r="B62" s="18">
        <v>296</v>
      </c>
      <c r="C62" s="18">
        <v>275</v>
      </c>
      <c r="D62" s="18">
        <v>9</v>
      </c>
      <c r="E62" s="18">
        <v>23</v>
      </c>
      <c r="F62" s="18">
        <v>603</v>
      </c>
    </row>
    <row r="63" spans="1:11" x14ac:dyDescent="0.35">
      <c r="A63" s="6" t="s">
        <v>108</v>
      </c>
      <c r="B63" s="18">
        <v>153</v>
      </c>
      <c r="C63" s="18">
        <v>246</v>
      </c>
      <c r="D63" s="18">
        <v>30</v>
      </c>
      <c r="E63" s="18">
        <v>8</v>
      </c>
      <c r="F63" s="18">
        <v>437</v>
      </c>
    </row>
    <row r="64" spans="1:11" x14ac:dyDescent="0.35">
      <c r="A64" s="6" t="s">
        <v>131</v>
      </c>
      <c r="B64" s="18">
        <v>189</v>
      </c>
      <c r="C64" s="18">
        <v>168</v>
      </c>
      <c r="D64" s="18">
        <v>10</v>
      </c>
      <c r="E64" s="18">
        <v>31</v>
      </c>
      <c r="F64" s="18">
        <v>398</v>
      </c>
    </row>
    <row r="65" spans="1:6" x14ac:dyDescent="0.35">
      <c r="A65" s="6" t="s">
        <v>54</v>
      </c>
      <c r="B65" s="18">
        <v>234</v>
      </c>
      <c r="C65" s="18">
        <v>93</v>
      </c>
      <c r="D65" s="18">
        <v>19</v>
      </c>
      <c r="E65" s="18">
        <v>24</v>
      </c>
      <c r="F65" s="18">
        <v>370</v>
      </c>
    </row>
    <row r="66" spans="1:6" x14ac:dyDescent="0.35">
      <c r="A66" s="6" t="s">
        <v>15</v>
      </c>
      <c r="B66" s="18">
        <v>146</v>
      </c>
      <c r="C66" s="18">
        <v>94</v>
      </c>
      <c r="D66" s="18">
        <v>4</v>
      </c>
      <c r="E66" s="18">
        <v>28</v>
      </c>
      <c r="F66" s="18">
        <v>272</v>
      </c>
    </row>
    <row r="67" spans="1:6" x14ac:dyDescent="0.35">
      <c r="A67" s="6" t="s">
        <v>120</v>
      </c>
      <c r="B67" s="18">
        <v>127</v>
      </c>
      <c r="C67" s="18">
        <v>118</v>
      </c>
      <c r="D67" s="18">
        <v>13</v>
      </c>
      <c r="E67" s="18">
        <v>12</v>
      </c>
      <c r="F67" s="18">
        <v>270</v>
      </c>
    </row>
    <row r="68" spans="1:6" x14ac:dyDescent="0.35">
      <c r="A68" s="6" t="s">
        <v>52</v>
      </c>
      <c r="B68" s="18">
        <v>179</v>
      </c>
      <c r="C68" s="18">
        <v>76</v>
      </c>
      <c r="D68" s="18">
        <v>3</v>
      </c>
      <c r="E68" s="18"/>
      <c r="F68" s="18">
        <v>258</v>
      </c>
    </row>
    <row r="69" spans="1:6" x14ac:dyDescent="0.35">
      <c r="A69" s="6" t="s">
        <v>113</v>
      </c>
      <c r="B69" s="18">
        <v>99</v>
      </c>
      <c r="C69" s="18">
        <v>69</v>
      </c>
      <c r="D69" s="18">
        <v>3</v>
      </c>
      <c r="E69" s="18">
        <v>24</v>
      </c>
      <c r="F69" s="18">
        <v>195</v>
      </c>
    </row>
    <row r="70" spans="1:6" x14ac:dyDescent="0.35">
      <c r="A70" s="6" t="s">
        <v>61</v>
      </c>
      <c r="B70" s="18">
        <v>75</v>
      </c>
      <c r="C70" s="18">
        <v>103</v>
      </c>
      <c r="D70" s="18">
        <v>4</v>
      </c>
      <c r="E70" s="18">
        <v>6</v>
      </c>
      <c r="F70" s="18">
        <v>188</v>
      </c>
    </row>
    <row r="71" spans="1:6" x14ac:dyDescent="0.35">
      <c r="A71" s="6" t="s">
        <v>66</v>
      </c>
      <c r="B71" s="18">
        <v>43</v>
      </c>
      <c r="C71" s="18">
        <v>90</v>
      </c>
      <c r="D71" s="18">
        <v>8</v>
      </c>
      <c r="E71" s="18">
        <v>6</v>
      </c>
      <c r="F71" s="18">
        <v>147</v>
      </c>
    </row>
    <row r="72" spans="1:6" x14ac:dyDescent="0.35">
      <c r="A72" s="6" t="s">
        <v>156</v>
      </c>
      <c r="B72" s="18">
        <v>26</v>
      </c>
      <c r="C72" s="18">
        <v>35</v>
      </c>
      <c r="D72" s="18">
        <v>4</v>
      </c>
      <c r="E72" s="18"/>
      <c r="F72" s="18">
        <v>65</v>
      </c>
    </row>
    <row r="73" spans="1:6" x14ac:dyDescent="0.35">
      <c r="A73" s="6" t="s">
        <v>2519</v>
      </c>
      <c r="B73" s="18">
        <v>6272</v>
      </c>
      <c r="C73" s="18">
        <v>4672</v>
      </c>
      <c r="D73" s="18">
        <v>317</v>
      </c>
      <c r="E73" s="18">
        <v>736</v>
      </c>
      <c r="F73" s="18">
        <v>11997</v>
      </c>
    </row>
    <row r="83" spans="2:13" x14ac:dyDescent="0.35">
      <c r="G83" t="s">
        <v>2540</v>
      </c>
      <c r="K83" t="s">
        <v>2541</v>
      </c>
    </row>
    <row r="85" spans="2:13" x14ac:dyDescent="0.35">
      <c r="B85" s="5" t="s">
        <v>2498</v>
      </c>
      <c r="C85" s="5" t="s">
        <v>2499</v>
      </c>
      <c r="D85" t="s">
        <v>2521</v>
      </c>
      <c r="E85" t="s">
        <v>2522</v>
      </c>
      <c r="G85" t="s">
        <v>2498</v>
      </c>
      <c r="H85" t="s">
        <v>2499</v>
      </c>
      <c r="I85" t="s">
        <v>2527</v>
      </c>
      <c r="K85" t="s">
        <v>2498</v>
      </c>
      <c r="L85" t="s">
        <v>2499</v>
      </c>
      <c r="M85" t="s">
        <v>2492</v>
      </c>
    </row>
    <row r="86" spans="2:13" x14ac:dyDescent="0.35">
      <c r="B86" t="s">
        <v>4</v>
      </c>
      <c r="C86" t="s">
        <v>100</v>
      </c>
      <c r="D86" s="18">
        <v>579</v>
      </c>
      <c r="E86" s="18">
        <v>31884.999999999996</v>
      </c>
      <c r="G86" t="str">
        <f>IF(B86="","",B86)</f>
        <v>California</v>
      </c>
      <c r="H86" t="str">
        <f t="shared" ref="H86:I86" si="1">IF(C86="","",C86)</f>
        <v>Alameda County</v>
      </c>
      <c r="I86">
        <f t="shared" si="1"/>
        <v>579</v>
      </c>
      <c r="K86" t="str">
        <f>IF(B86="","",B86)</f>
        <v>California</v>
      </c>
      <c r="L86" t="str">
        <f>IF(C86="","",C86)</f>
        <v>Alameda County</v>
      </c>
      <c r="M86">
        <f>IF(E86="","",E86)</f>
        <v>31884.999999999996</v>
      </c>
    </row>
    <row r="87" spans="2:13" x14ac:dyDescent="0.35">
      <c r="B87" t="s">
        <v>4</v>
      </c>
      <c r="C87" t="s">
        <v>5</v>
      </c>
      <c r="D87" s="18">
        <v>1</v>
      </c>
      <c r="E87" s="18">
        <v>10.9</v>
      </c>
      <c r="G87" t="str">
        <f t="shared" ref="G87:G143" si="2">IF(B87="","",B87)</f>
        <v>California</v>
      </c>
      <c r="H87" t="str">
        <f t="shared" ref="H87:H143" si="3">IF(C87="","",C87)</f>
        <v>Alpine County</v>
      </c>
      <c r="I87">
        <f t="shared" ref="I87:I143" si="4">IF(D87="","",D87)</f>
        <v>1</v>
      </c>
      <c r="K87" t="str">
        <f t="shared" ref="K87:K143" si="5">IF(B87="","",B87)</f>
        <v>California</v>
      </c>
      <c r="L87" t="str">
        <f t="shared" ref="L87:L143" si="6">IF(C87="","",C87)</f>
        <v>Alpine County</v>
      </c>
      <c r="M87">
        <f t="shared" ref="M87:M143" si="7">IF(E87="","",E87)</f>
        <v>10.9</v>
      </c>
    </row>
    <row r="88" spans="2:13" x14ac:dyDescent="0.35">
      <c r="B88" t="s">
        <v>4</v>
      </c>
      <c r="C88" t="s">
        <v>626</v>
      </c>
      <c r="D88" s="18">
        <v>9</v>
      </c>
      <c r="E88" s="18">
        <v>800.3</v>
      </c>
      <c r="G88" t="str">
        <f t="shared" si="2"/>
        <v>California</v>
      </c>
      <c r="H88" t="str">
        <f t="shared" si="3"/>
        <v>Amador County</v>
      </c>
      <c r="I88">
        <f t="shared" si="4"/>
        <v>9</v>
      </c>
      <c r="K88" t="str">
        <f t="shared" si="5"/>
        <v>California</v>
      </c>
      <c r="L88" t="str">
        <f t="shared" si="6"/>
        <v>Amador County</v>
      </c>
      <c r="M88">
        <f t="shared" si="7"/>
        <v>800.3</v>
      </c>
    </row>
    <row r="89" spans="2:13" x14ac:dyDescent="0.35">
      <c r="B89" t="s">
        <v>4</v>
      </c>
      <c r="C89" t="s">
        <v>952</v>
      </c>
      <c r="D89" s="18">
        <v>35</v>
      </c>
      <c r="E89" s="18">
        <v>1062.5999999999999</v>
      </c>
      <c r="G89" t="str">
        <f t="shared" si="2"/>
        <v>California</v>
      </c>
      <c r="H89" t="str">
        <f t="shared" si="3"/>
        <v>Butte County</v>
      </c>
      <c r="I89">
        <f t="shared" si="4"/>
        <v>35</v>
      </c>
      <c r="K89" t="str">
        <f t="shared" si="5"/>
        <v>California</v>
      </c>
      <c r="L89" t="str">
        <f t="shared" si="6"/>
        <v>Butte County</v>
      </c>
      <c r="M89">
        <f t="shared" si="7"/>
        <v>1062.5999999999999</v>
      </c>
    </row>
    <row r="90" spans="2:13" x14ac:dyDescent="0.35">
      <c r="B90" t="s">
        <v>4</v>
      </c>
      <c r="C90" t="s">
        <v>69</v>
      </c>
      <c r="D90" s="18">
        <v>12</v>
      </c>
      <c r="E90" s="18">
        <v>326.20000000000005</v>
      </c>
      <c r="G90" t="str">
        <f t="shared" si="2"/>
        <v>California</v>
      </c>
      <c r="H90" t="str">
        <f t="shared" si="3"/>
        <v>Calaveras County</v>
      </c>
      <c r="I90">
        <f t="shared" si="4"/>
        <v>12</v>
      </c>
      <c r="K90" t="str">
        <f t="shared" si="5"/>
        <v>California</v>
      </c>
      <c r="L90" t="str">
        <f t="shared" si="6"/>
        <v>Calaveras County</v>
      </c>
      <c r="M90">
        <f t="shared" si="7"/>
        <v>326.20000000000005</v>
      </c>
    </row>
    <row r="91" spans="2:13" x14ac:dyDescent="0.35">
      <c r="B91" t="s">
        <v>4</v>
      </c>
      <c r="C91" t="s">
        <v>1368</v>
      </c>
      <c r="D91" s="18">
        <v>4</v>
      </c>
      <c r="E91" s="18">
        <v>167.5</v>
      </c>
      <c r="G91" t="str">
        <f t="shared" si="2"/>
        <v>California</v>
      </c>
      <c r="H91" t="str">
        <f t="shared" si="3"/>
        <v>Colusa County</v>
      </c>
      <c r="I91">
        <f t="shared" si="4"/>
        <v>4</v>
      </c>
      <c r="K91" t="str">
        <f t="shared" si="5"/>
        <v>California</v>
      </c>
      <c r="L91" t="str">
        <f t="shared" si="6"/>
        <v>Colusa County</v>
      </c>
      <c r="M91">
        <f t="shared" si="7"/>
        <v>167.5</v>
      </c>
    </row>
    <row r="92" spans="2:13" x14ac:dyDescent="0.35">
      <c r="B92" t="s">
        <v>4</v>
      </c>
      <c r="C92" t="s">
        <v>9</v>
      </c>
      <c r="D92" s="18">
        <v>341</v>
      </c>
      <c r="E92" s="18">
        <v>16168.7</v>
      </c>
      <c r="G92" t="str">
        <f t="shared" si="2"/>
        <v>California</v>
      </c>
      <c r="H92" t="str">
        <f t="shared" si="3"/>
        <v>Contra Costa County</v>
      </c>
      <c r="I92">
        <f t="shared" si="4"/>
        <v>341</v>
      </c>
      <c r="K92" t="str">
        <f t="shared" si="5"/>
        <v>California</v>
      </c>
      <c r="L92" t="str">
        <f t="shared" si="6"/>
        <v>Contra Costa County</v>
      </c>
      <c r="M92">
        <f t="shared" si="7"/>
        <v>16168.7</v>
      </c>
    </row>
    <row r="93" spans="2:13" x14ac:dyDescent="0.35">
      <c r="B93" t="s">
        <v>4</v>
      </c>
      <c r="C93" t="s">
        <v>2189</v>
      </c>
      <c r="D93" s="18">
        <v>13</v>
      </c>
      <c r="E93" s="18">
        <v>322.40000000000003</v>
      </c>
      <c r="G93" t="str">
        <f t="shared" si="2"/>
        <v>California</v>
      </c>
      <c r="H93" t="str">
        <f t="shared" si="3"/>
        <v>Del Norte County</v>
      </c>
      <c r="I93">
        <f t="shared" si="4"/>
        <v>13</v>
      </c>
      <c r="K93" t="str">
        <f t="shared" si="5"/>
        <v>California</v>
      </c>
      <c r="L93" t="str">
        <f t="shared" si="6"/>
        <v>Del Norte County</v>
      </c>
      <c r="M93">
        <f t="shared" si="7"/>
        <v>322.40000000000003</v>
      </c>
    </row>
    <row r="94" spans="2:13" x14ac:dyDescent="0.35">
      <c r="B94" t="s">
        <v>4</v>
      </c>
      <c r="C94" t="s">
        <v>422</v>
      </c>
      <c r="D94" s="18">
        <v>31</v>
      </c>
      <c r="E94" s="18">
        <v>2092.8000000000002</v>
      </c>
      <c r="G94" t="str">
        <f t="shared" si="2"/>
        <v>California</v>
      </c>
      <c r="H94" t="str">
        <f t="shared" si="3"/>
        <v>El Dorado County</v>
      </c>
      <c r="I94">
        <f t="shared" si="4"/>
        <v>31</v>
      </c>
      <c r="K94" t="str">
        <f t="shared" si="5"/>
        <v>California</v>
      </c>
      <c r="L94" t="str">
        <f t="shared" si="6"/>
        <v>El Dorado County</v>
      </c>
      <c r="M94">
        <f t="shared" si="7"/>
        <v>2092.8000000000002</v>
      </c>
    </row>
    <row r="95" spans="2:13" x14ac:dyDescent="0.35">
      <c r="B95" t="s">
        <v>4</v>
      </c>
      <c r="C95" t="s">
        <v>13</v>
      </c>
      <c r="D95" s="18">
        <v>279</v>
      </c>
      <c r="E95" s="18">
        <v>12662.500000000002</v>
      </c>
      <c r="G95" t="str">
        <f t="shared" si="2"/>
        <v>California</v>
      </c>
      <c r="H95" t="str">
        <f t="shared" si="3"/>
        <v>Fresno County</v>
      </c>
      <c r="I95">
        <f t="shared" si="4"/>
        <v>279</v>
      </c>
      <c r="K95" t="str">
        <f t="shared" si="5"/>
        <v>California</v>
      </c>
      <c r="L95" t="str">
        <f t="shared" si="6"/>
        <v>Fresno County</v>
      </c>
      <c r="M95">
        <f t="shared" si="7"/>
        <v>12662.500000000002</v>
      </c>
    </row>
    <row r="96" spans="2:13" x14ac:dyDescent="0.35">
      <c r="B96" t="s">
        <v>4</v>
      </c>
      <c r="C96" t="s">
        <v>193</v>
      </c>
      <c r="D96" s="18">
        <v>9</v>
      </c>
      <c r="E96" s="18">
        <v>343.2</v>
      </c>
      <c r="G96" t="str">
        <f t="shared" si="2"/>
        <v>California</v>
      </c>
      <c r="H96" t="str">
        <f t="shared" si="3"/>
        <v>Glenn County</v>
      </c>
      <c r="I96">
        <f t="shared" si="4"/>
        <v>9</v>
      </c>
      <c r="K96" t="str">
        <f t="shared" si="5"/>
        <v>California</v>
      </c>
      <c r="L96" t="str">
        <f t="shared" si="6"/>
        <v>Glenn County</v>
      </c>
      <c r="M96">
        <f t="shared" si="7"/>
        <v>343.2</v>
      </c>
    </row>
    <row r="97" spans="2:13" x14ac:dyDescent="0.35">
      <c r="B97" t="s">
        <v>4</v>
      </c>
      <c r="C97" t="s">
        <v>572</v>
      </c>
      <c r="D97" s="18">
        <v>49</v>
      </c>
      <c r="E97" s="18">
        <v>2188.2999999999997</v>
      </c>
      <c r="G97" t="str">
        <f t="shared" si="2"/>
        <v>California</v>
      </c>
      <c r="H97" t="str">
        <f t="shared" si="3"/>
        <v>Humboldt County</v>
      </c>
      <c r="I97">
        <f t="shared" si="4"/>
        <v>49</v>
      </c>
      <c r="K97" t="str">
        <f t="shared" si="5"/>
        <v>California</v>
      </c>
      <c r="L97" t="str">
        <f t="shared" si="6"/>
        <v>Humboldt County</v>
      </c>
      <c r="M97">
        <f t="shared" si="7"/>
        <v>2188.2999999999997</v>
      </c>
    </row>
    <row r="98" spans="2:13" x14ac:dyDescent="0.35">
      <c r="B98" t="s">
        <v>4</v>
      </c>
      <c r="C98" t="s">
        <v>316</v>
      </c>
      <c r="D98" s="18">
        <v>59</v>
      </c>
      <c r="E98" s="18">
        <v>2661.5999999999995</v>
      </c>
      <c r="G98" t="str">
        <f t="shared" si="2"/>
        <v>California</v>
      </c>
      <c r="H98" t="str">
        <f t="shared" si="3"/>
        <v>Imperial County</v>
      </c>
      <c r="I98">
        <f t="shared" si="4"/>
        <v>59</v>
      </c>
      <c r="K98" t="str">
        <f t="shared" si="5"/>
        <v>California</v>
      </c>
      <c r="L98" t="str">
        <f t="shared" si="6"/>
        <v>Imperial County</v>
      </c>
      <c r="M98">
        <f t="shared" si="7"/>
        <v>2661.5999999999995</v>
      </c>
    </row>
    <row r="99" spans="2:13" x14ac:dyDescent="0.35">
      <c r="B99" t="s">
        <v>4</v>
      </c>
      <c r="C99" t="s">
        <v>71</v>
      </c>
      <c r="D99" s="18">
        <v>8</v>
      </c>
      <c r="E99" s="18">
        <v>887.5</v>
      </c>
      <c r="G99" t="str">
        <f t="shared" si="2"/>
        <v>California</v>
      </c>
      <c r="H99" t="str">
        <f t="shared" si="3"/>
        <v>Inyo County</v>
      </c>
      <c r="I99">
        <f t="shared" si="4"/>
        <v>8</v>
      </c>
      <c r="K99" t="str">
        <f t="shared" si="5"/>
        <v>California</v>
      </c>
      <c r="L99" t="str">
        <f t="shared" si="6"/>
        <v>Inyo County</v>
      </c>
      <c r="M99">
        <f t="shared" si="7"/>
        <v>887.5</v>
      </c>
    </row>
    <row r="100" spans="2:13" x14ac:dyDescent="0.35">
      <c r="B100" t="s">
        <v>4</v>
      </c>
      <c r="C100" t="s">
        <v>132</v>
      </c>
      <c r="D100" s="18">
        <v>222</v>
      </c>
      <c r="E100" s="18">
        <v>11354.199999999993</v>
      </c>
      <c r="G100" t="str">
        <f t="shared" si="2"/>
        <v>California</v>
      </c>
      <c r="H100" t="str">
        <f t="shared" si="3"/>
        <v>Kern County</v>
      </c>
      <c r="I100">
        <f t="shared" si="4"/>
        <v>222</v>
      </c>
      <c r="K100" t="str">
        <f t="shared" si="5"/>
        <v>California</v>
      </c>
      <c r="L100" t="str">
        <f t="shared" si="6"/>
        <v>Kern County</v>
      </c>
      <c r="M100">
        <f t="shared" si="7"/>
        <v>11354.199999999993</v>
      </c>
    </row>
    <row r="101" spans="2:13" x14ac:dyDescent="0.35">
      <c r="B101" t="s">
        <v>4</v>
      </c>
      <c r="C101" t="s">
        <v>319</v>
      </c>
      <c r="D101" s="18">
        <v>36</v>
      </c>
      <c r="E101" s="18">
        <v>1558.4</v>
      </c>
      <c r="G101" t="str">
        <f t="shared" si="2"/>
        <v>California</v>
      </c>
      <c r="H101" t="str">
        <f t="shared" si="3"/>
        <v>Kings County</v>
      </c>
      <c r="I101">
        <f t="shared" si="4"/>
        <v>36</v>
      </c>
      <c r="K101" t="str">
        <f t="shared" si="5"/>
        <v>California</v>
      </c>
      <c r="L101" t="str">
        <f t="shared" si="6"/>
        <v>Kings County</v>
      </c>
      <c r="M101">
        <f t="shared" si="7"/>
        <v>1558.4</v>
      </c>
    </row>
    <row r="102" spans="2:13" x14ac:dyDescent="0.35">
      <c r="B102" t="s">
        <v>4</v>
      </c>
      <c r="C102" t="s">
        <v>934</v>
      </c>
      <c r="D102" s="18">
        <v>30</v>
      </c>
      <c r="E102" s="18">
        <v>2223.9</v>
      </c>
      <c r="G102" t="str">
        <f t="shared" si="2"/>
        <v>California</v>
      </c>
      <c r="H102" t="str">
        <f t="shared" si="3"/>
        <v>Lake County</v>
      </c>
      <c r="I102">
        <f t="shared" si="4"/>
        <v>30</v>
      </c>
      <c r="K102" t="str">
        <f t="shared" si="5"/>
        <v>California</v>
      </c>
      <c r="L102" t="str">
        <f t="shared" si="6"/>
        <v>Lake County</v>
      </c>
      <c r="M102">
        <f t="shared" si="7"/>
        <v>2223.9</v>
      </c>
    </row>
    <row r="103" spans="2:13" x14ac:dyDescent="0.35">
      <c r="B103" t="s">
        <v>4</v>
      </c>
      <c r="C103" t="s">
        <v>1411</v>
      </c>
      <c r="D103" s="18">
        <v>1</v>
      </c>
      <c r="E103" s="18">
        <v>26.2</v>
      </c>
      <c r="G103" t="str">
        <f t="shared" si="2"/>
        <v>California</v>
      </c>
      <c r="H103" t="str">
        <f t="shared" si="3"/>
        <v>Lassen County</v>
      </c>
      <c r="I103">
        <f t="shared" si="4"/>
        <v>1</v>
      </c>
      <c r="K103" t="str">
        <f t="shared" si="5"/>
        <v>California</v>
      </c>
      <c r="L103" t="str">
        <f t="shared" si="6"/>
        <v>Lassen County</v>
      </c>
      <c r="M103">
        <f t="shared" si="7"/>
        <v>26.2</v>
      </c>
    </row>
    <row r="104" spans="2:13" x14ac:dyDescent="0.35">
      <c r="B104" t="s">
        <v>4</v>
      </c>
      <c r="C104" t="s">
        <v>18</v>
      </c>
      <c r="D104" s="18">
        <v>3991</v>
      </c>
      <c r="E104" s="18">
        <v>215551.19999999981</v>
      </c>
      <c r="G104" t="str">
        <f t="shared" si="2"/>
        <v>California</v>
      </c>
      <c r="H104" t="str">
        <f t="shared" si="3"/>
        <v>Los Angeles County</v>
      </c>
      <c r="I104">
        <f t="shared" si="4"/>
        <v>3991</v>
      </c>
      <c r="K104" t="str">
        <f t="shared" si="5"/>
        <v>California</v>
      </c>
      <c r="L104" t="str">
        <f t="shared" si="6"/>
        <v>Los Angeles County</v>
      </c>
      <c r="M104">
        <f t="shared" si="7"/>
        <v>215551.19999999981</v>
      </c>
    </row>
    <row r="105" spans="2:13" x14ac:dyDescent="0.35">
      <c r="B105" t="s">
        <v>4</v>
      </c>
      <c r="C105" t="s">
        <v>349</v>
      </c>
      <c r="D105" s="18">
        <v>45</v>
      </c>
      <c r="E105" s="18">
        <v>2687.3999999999996</v>
      </c>
      <c r="G105" t="str">
        <f t="shared" si="2"/>
        <v>California</v>
      </c>
      <c r="H105" t="str">
        <f t="shared" si="3"/>
        <v>Madera County</v>
      </c>
      <c r="I105">
        <f t="shared" si="4"/>
        <v>45</v>
      </c>
      <c r="K105" t="str">
        <f t="shared" si="5"/>
        <v>California</v>
      </c>
      <c r="L105" t="str">
        <f t="shared" si="6"/>
        <v>Madera County</v>
      </c>
      <c r="M105">
        <f t="shared" si="7"/>
        <v>2687.3999999999996</v>
      </c>
    </row>
    <row r="106" spans="2:13" x14ac:dyDescent="0.35">
      <c r="B106" t="s">
        <v>4</v>
      </c>
      <c r="C106" t="s">
        <v>530</v>
      </c>
      <c r="D106" s="18">
        <v>39</v>
      </c>
      <c r="E106" s="18">
        <v>1463.3000000000002</v>
      </c>
      <c r="G106" t="str">
        <f t="shared" si="2"/>
        <v>California</v>
      </c>
      <c r="H106" t="str">
        <f t="shared" si="3"/>
        <v>Marin County</v>
      </c>
      <c r="I106">
        <f t="shared" si="4"/>
        <v>39</v>
      </c>
      <c r="K106" t="str">
        <f t="shared" si="5"/>
        <v>California</v>
      </c>
      <c r="L106" t="str">
        <f t="shared" si="6"/>
        <v>Marin County</v>
      </c>
      <c r="M106">
        <f t="shared" si="7"/>
        <v>1463.3000000000002</v>
      </c>
    </row>
    <row r="107" spans="2:13" x14ac:dyDescent="0.35">
      <c r="B107" t="s">
        <v>4</v>
      </c>
      <c r="C107" t="s">
        <v>401</v>
      </c>
      <c r="D107" s="18">
        <v>6</v>
      </c>
      <c r="E107" s="18">
        <v>445.79999999999995</v>
      </c>
      <c r="G107" t="str">
        <f t="shared" si="2"/>
        <v>California</v>
      </c>
      <c r="H107" t="str">
        <f t="shared" si="3"/>
        <v>Mariposa County</v>
      </c>
      <c r="I107">
        <f t="shared" si="4"/>
        <v>6</v>
      </c>
      <c r="K107" t="str">
        <f t="shared" si="5"/>
        <v>California</v>
      </c>
      <c r="L107" t="str">
        <f t="shared" si="6"/>
        <v>Mariposa County</v>
      </c>
      <c r="M107">
        <f t="shared" si="7"/>
        <v>445.79999999999995</v>
      </c>
    </row>
    <row r="108" spans="2:13" x14ac:dyDescent="0.35">
      <c r="B108" t="s">
        <v>4</v>
      </c>
      <c r="C108" t="s">
        <v>243</v>
      </c>
      <c r="D108" s="18">
        <v>9</v>
      </c>
      <c r="E108" s="18">
        <v>273.59999999999997</v>
      </c>
      <c r="G108" t="str">
        <f t="shared" si="2"/>
        <v>California</v>
      </c>
      <c r="H108" t="str">
        <f t="shared" si="3"/>
        <v>Mendocino County</v>
      </c>
      <c r="I108">
        <f t="shared" si="4"/>
        <v>9</v>
      </c>
      <c r="K108" t="str">
        <f t="shared" si="5"/>
        <v>California</v>
      </c>
      <c r="L108" t="str">
        <f t="shared" si="6"/>
        <v>Mendocino County</v>
      </c>
      <c r="M108">
        <f t="shared" si="7"/>
        <v>273.59999999999997</v>
      </c>
    </row>
    <row r="109" spans="2:13" x14ac:dyDescent="0.35">
      <c r="B109" t="s">
        <v>4</v>
      </c>
      <c r="C109" t="s">
        <v>171</v>
      </c>
      <c r="D109" s="18">
        <v>60</v>
      </c>
      <c r="E109" s="18">
        <v>2690.4</v>
      </c>
      <c r="G109" t="str">
        <f t="shared" si="2"/>
        <v>California</v>
      </c>
      <c r="H109" t="str">
        <f t="shared" si="3"/>
        <v>Merced County</v>
      </c>
      <c r="I109">
        <f t="shared" si="4"/>
        <v>60</v>
      </c>
      <c r="K109" t="str">
        <f t="shared" si="5"/>
        <v>California</v>
      </c>
      <c r="L109" t="str">
        <f t="shared" si="6"/>
        <v>Merced County</v>
      </c>
      <c r="M109">
        <f t="shared" si="7"/>
        <v>2690.4</v>
      </c>
    </row>
    <row r="110" spans="2:13" x14ac:dyDescent="0.35">
      <c r="B110" t="s">
        <v>4</v>
      </c>
      <c r="C110" t="s">
        <v>377</v>
      </c>
      <c r="D110" s="18">
        <v>2</v>
      </c>
      <c r="E110" s="18">
        <v>28.4</v>
      </c>
      <c r="G110" t="str">
        <f t="shared" si="2"/>
        <v>California</v>
      </c>
      <c r="H110" t="str">
        <f t="shared" si="3"/>
        <v>Modoc County</v>
      </c>
      <c r="I110">
        <f t="shared" si="4"/>
        <v>2</v>
      </c>
      <c r="K110" t="str">
        <f t="shared" si="5"/>
        <v>California</v>
      </c>
      <c r="L110" t="str">
        <f t="shared" si="6"/>
        <v>Modoc County</v>
      </c>
      <c r="M110">
        <f t="shared" si="7"/>
        <v>28.4</v>
      </c>
    </row>
    <row r="111" spans="2:13" x14ac:dyDescent="0.35">
      <c r="B111" t="s">
        <v>4</v>
      </c>
      <c r="C111" t="s">
        <v>655</v>
      </c>
      <c r="D111" s="18">
        <v>4</v>
      </c>
      <c r="E111" s="18">
        <v>204.8</v>
      </c>
      <c r="G111" t="str">
        <f t="shared" si="2"/>
        <v>California</v>
      </c>
      <c r="H111" t="str">
        <f t="shared" si="3"/>
        <v>Mono County</v>
      </c>
      <c r="I111">
        <f t="shared" si="4"/>
        <v>4</v>
      </c>
      <c r="K111" t="str">
        <f t="shared" si="5"/>
        <v>California</v>
      </c>
      <c r="L111" t="str">
        <f t="shared" si="6"/>
        <v>Mono County</v>
      </c>
      <c r="M111">
        <f t="shared" si="7"/>
        <v>204.8</v>
      </c>
    </row>
    <row r="112" spans="2:13" x14ac:dyDescent="0.35">
      <c r="B112" t="s">
        <v>4</v>
      </c>
      <c r="C112" t="s">
        <v>787</v>
      </c>
      <c r="D112" s="18">
        <v>31</v>
      </c>
      <c r="E112" s="18">
        <v>1607.8999999999999</v>
      </c>
      <c r="G112" t="str">
        <f t="shared" si="2"/>
        <v>California</v>
      </c>
      <c r="H112" t="str">
        <f t="shared" si="3"/>
        <v>Monterey County</v>
      </c>
      <c r="I112">
        <f t="shared" si="4"/>
        <v>31</v>
      </c>
      <c r="K112" t="str">
        <f t="shared" si="5"/>
        <v>California</v>
      </c>
      <c r="L112" t="str">
        <f t="shared" si="6"/>
        <v>Monterey County</v>
      </c>
      <c r="M112">
        <f t="shared" si="7"/>
        <v>1607.8999999999999</v>
      </c>
    </row>
    <row r="113" spans="2:13" x14ac:dyDescent="0.35">
      <c r="B113" t="s">
        <v>4</v>
      </c>
      <c r="C113" t="s">
        <v>83</v>
      </c>
      <c r="D113" s="18">
        <v>88</v>
      </c>
      <c r="E113" s="18">
        <v>6444.9</v>
      </c>
      <c r="G113" t="str">
        <f t="shared" si="2"/>
        <v>California</v>
      </c>
      <c r="H113" t="str">
        <f t="shared" si="3"/>
        <v>Napa County</v>
      </c>
      <c r="I113">
        <f t="shared" si="4"/>
        <v>88</v>
      </c>
      <c r="K113" t="str">
        <f t="shared" si="5"/>
        <v>California</v>
      </c>
      <c r="L113" t="str">
        <f t="shared" si="6"/>
        <v>Napa County</v>
      </c>
      <c r="M113">
        <f t="shared" si="7"/>
        <v>6444.9</v>
      </c>
    </row>
    <row r="114" spans="2:13" x14ac:dyDescent="0.35">
      <c r="B114" t="s">
        <v>4</v>
      </c>
      <c r="C114" t="s">
        <v>34</v>
      </c>
      <c r="D114" s="18">
        <v>25</v>
      </c>
      <c r="E114" s="18">
        <v>1809.3</v>
      </c>
      <c r="G114" t="str">
        <f t="shared" si="2"/>
        <v>California</v>
      </c>
      <c r="H114" t="str">
        <f t="shared" si="3"/>
        <v>Nevada County</v>
      </c>
      <c r="I114">
        <f t="shared" si="4"/>
        <v>25</v>
      </c>
      <c r="K114" t="str">
        <f t="shared" si="5"/>
        <v>California</v>
      </c>
      <c r="L114" t="str">
        <f t="shared" si="6"/>
        <v>Nevada County</v>
      </c>
      <c r="M114">
        <f t="shared" si="7"/>
        <v>1809.3</v>
      </c>
    </row>
    <row r="115" spans="2:13" x14ac:dyDescent="0.35">
      <c r="B115" t="s">
        <v>4</v>
      </c>
      <c r="C115" t="s">
        <v>173</v>
      </c>
      <c r="D115" s="18">
        <v>178</v>
      </c>
      <c r="E115" s="18">
        <v>9680.399999999996</v>
      </c>
      <c r="G115" t="str">
        <f t="shared" si="2"/>
        <v>California</v>
      </c>
      <c r="H115" t="str">
        <f t="shared" si="3"/>
        <v>Orange County</v>
      </c>
      <c r="I115">
        <f t="shared" si="4"/>
        <v>178</v>
      </c>
      <c r="K115" t="str">
        <f t="shared" si="5"/>
        <v>California</v>
      </c>
      <c r="L115" t="str">
        <f t="shared" si="6"/>
        <v>Orange County</v>
      </c>
      <c r="M115">
        <f t="shared" si="7"/>
        <v>9680.399999999996</v>
      </c>
    </row>
    <row r="116" spans="2:13" x14ac:dyDescent="0.35">
      <c r="B116" t="s">
        <v>4</v>
      </c>
      <c r="C116" t="s">
        <v>37</v>
      </c>
      <c r="D116" s="18">
        <v>141</v>
      </c>
      <c r="E116" s="18">
        <v>9414.7999999999993</v>
      </c>
      <c r="G116" t="str">
        <f t="shared" si="2"/>
        <v>California</v>
      </c>
      <c r="H116" t="str">
        <f t="shared" si="3"/>
        <v>Placer County</v>
      </c>
      <c r="I116">
        <f t="shared" si="4"/>
        <v>141</v>
      </c>
      <c r="K116" t="str">
        <f t="shared" si="5"/>
        <v>California</v>
      </c>
      <c r="L116" t="str">
        <f t="shared" si="6"/>
        <v>Placer County</v>
      </c>
      <c r="M116">
        <f t="shared" si="7"/>
        <v>9414.7999999999993</v>
      </c>
    </row>
    <row r="117" spans="2:13" x14ac:dyDescent="0.35">
      <c r="B117" t="s">
        <v>4</v>
      </c>
      <c r="C117" t="s">
        <v>323</v>
      </c>
      <c r="D117" s="18">
        <v>6</v>
      </c>
      <c r="E117" s="18">
        <v>206.1</v>
      </c>
      <c r="G117" t="str">
        <f t="shared" si="2"/>
        <v>California</v>
      </c>
      <c r="H117" t="str">
        <f t="shared" si="3"/>
        <v>Plumas County</v>
      </c>
      <c r="I117">
        <f t="shared" si="4"/>
        <v>6</v>
      </c>
      <c r="K117" t="str">
        <f t="shared" si="5"/>
        <v>California</v>
      </c>
      <c r="L117" t="str">
        <f t="shared" si="6"/>
        <v>Plumas County</v>
      </c>
      <c r="M117">
        <f t="shared" si="7"/>
        <v>206.1</v>
      </c>
    </row>
    <row r="118" spans="2:13" x14ac:dyDescent="0.35">
      <c r="B118" t="s">
        <v>4</v>
      </c>
      <c r="C118" t="s">
        <v>143</v>
      </c>
      <c r="D118" s="18">
        <v>178</v>
      </c>
      <c r="E118" s="18">
        <v>7691.3</v>
      </c>
      <c r="G118" t="str">
        <f t="shared" si="2"/>
        <v>California</v>
      </c>
      <c r="H118" t="str">
        <f t="shared" si="3"/>
        <v>Riverside County</v>
      </c>
      <c r="I118">
        <f t="shared" si="4"/>
        <v>178</v>
      </c>
      <c r="K118" t="str">
        <f t="shared" si="5"/>
        <v>California</v>
      </c>
      <c r="L118" t="str">
        <f t="shared" si="6"/>
        <v>Riverside County</v>
      </c>
      <c r="M118">
        <f t="shared" si="7"/>
        <v>7691.3</v>
      </c>
    </row>
    <row r="119" spans="2:13" x14ac:dyDescent="0.35">
      <c r="B119" t="s">
        <v>4</v>
      </c>
      <c r="C119" t="s">
        <v>40</v>
      </c>
      <c r="D119" s="18">
        <v>699</v>
      </c>
      <c r="E119" s="18">
        <v>37784.900000000016</v>
      </c>
      <c r="G119" t="str">
        <f t="shared" si="2"/>
        <v>California</v>
      </c>
      <c r="H119" t="str">
        <f t="shared" si="3"/>
        <v>Sacramento County</v>
      </c>
      <c r="I119">
        <f t="shared" si="4"/>
        <v>699</v>
      </c>
      <c r="K119" t="str">
        <f t="shared" si="5"/>
        <v>California</v>
      </c>
      <c r="L119" t="str">
        <f t="shared" si="6"/>
        <v>Sacramento County</v>
      </c>
      <c r="M119">
        <f t="shared" si="7"/>
        <v>37784.900000000016</v>
      </c>
    </row>
    <row r="120" spans="2:13" x14ac:dyDescent="0.35">
      <c r="B120" t="s">
        <v>4</v>
      </c>
      <c r="C120" t="s">
        <v>327</v>
      </c>
      <c r="D120" s="18">
        <v>23</v>
      </c>
      <c r="E120" s="18">
        <v>1129.7</v>
      </c>
      <c r="G120" t="str">
        <f t="shared" si="2"/>
        <v>California</v>
      </c>
      <c r="H120" t="str">
        <f t="shared" si="3"/>
        <v>San Benito County</v>
      </c>
      <c r="I120">
        <f t="shared" si="4"/>
        <v>23</v>
      </c>
      <c r="K120" t="str">
        <f t="shared" si="5"/>
        <v>California</v>
      </c>
      <c r="L120" t="str">
        <f t="shared" si="6"/>
        <v>San Benito County</v>
      </c>
      <c r="M120">
        <f t="shared" si="7"/>
        <v>1129.7</v>
      </c>
    </row>
    <row r="121" spans="2:13" x14ac:dyDescent="0.35">
      <c r="B121" t="s">
        <v>4</v>
      </c>
      <c r="C121" t="s">
        <v>44</v>
      </c>
      <c r="D121" s="18">
        <v>356</v>
      </c>
      <c r="E121" s="18">
        <v>20988.9</v>
      </c>
      <c r="G121" t="str">
        <f t="shared" si="2"/>
        <v>California</v>
      </c>
      <c r="H121" t="str">
        <f t="shared" si="3"/>
        <v>San Bernardino County</v>
      </c>
      <c r="I121">
        <f t="shared" si="4"/>
        <v>356</v>
      </c>
      <c r="K121" t="str">
        <f t="shared" si="5"/>
        <v>California</v>
      </c>
      <c r="L121" t="str">
        <f t="shared" si="6"/>
        <v>San Bernardino County</v>
      </c>
      <c r="M121">
        <f t="shared" si="7"/>
        <v>20988.9</v>
      </c>
    </row>
    <row r="122" spans="2:13" x14ac:dyDescent="0.35">
      <c r="B122" t="s">
        <v>4</v>
      </c>
      <c r="C122" t="s">
        <v>47</v>
      </c>
      <c r="D122" s="18">
        <v>1768</v>
      </c>
      <c r="E122" s="18">
        <v>98367.099999999977</v>
      </c>
      <c r="G122" t="str">
        <f t="shared" si="2"/>
        <v>California</v>
      </c>
      <c r="H122" t="str">
        <f t="shared" si="3"/>
        <v>San Diego County</v>
      </c>
      <c r="I122">
        <f t="shared" si="4"/>
        <v>1768</v>
      </c>
      <c r="K122" t="str">
        <f t="shared" si="5"/>
        <v>California</v>
      </c>
      <c r="L122" t="str">
        <f t="shared" si="6"/>
        <v>San Diego County</v>
      </c>
      <c r="M122">
        <f t="shared" si="7"/>
        <v>98367.099999999977</v>
      </c>
    </row>
    <row r="123" spans="2:13" x14ac:dyDescent="0.35">
      <c r="B123" t="s">
        <v>4</v>
      </c>
      <c r="C123" t="s">
        <v>88</v>
      </c>
      <c r="D123" s="18">
        <v>307</v>
      </c>
      <c r="E123" s="18">
        <v>21911.9</v>
      </c>
      <c r="G123" t="str">
        <f t="shared" si="2"/>
        <v>California</v>
      </c>
      <c r="H123" t="str">
        <f t="shared" si="3"/>
        <v>San Francisco</v>
      </c>
      <c r="I123">
        <f t="shared" si="4"/>
        <v>307</v>
      </c>
      <c r="K123" t="str">
        <f t="shared" si="5"/>
        <v>California</v>
      </c>
      <c r="L123" t="str">
        <f t="shared" si="6"/>
        <v>San Francisco</v>
      </c>
      <c r="M123">
        <f t="shared" si="7"/>
        <v>21911.9</v>
      </c>
    </row>
    <row r="124" spans="2:13" x14ac:dyDescent="0.35">
      <c r="B124" t="s">
        <v>4</v>
      </c>
      <c r="C124" t="s">
        <v>186</v>
      </c>
      <c r="D124" s="18">
        <v>117</v>
      </c>
      <c r="E124" s="18">
        <v>5441.2</v>
      </c>
      <c r="G124" t="str">
        <f t="shared" si="2"/>
        <v>California</v>
      </c>
      <c r="H124" t="str">
        <f t="shared" si="3"/>
        <v>San Joaquin County</v>
      </c>
      <c r="I124">
        <f t="shared" si="4"/>
        <v>117</v>
      </c>
      <c r="K124" t="str">
        <f t="shared" si="5"/>
        <v>California</v>
      </c>
      <c r="L124" t="str">
        <f t="shared" si="6"/>
        <v>San Joaquin County</v>
      </c>
      <c r="M124">
        <f t="shared" si="7"/>
        <v>5441.2</v>
      </c>
    </row>
    <row r="125" spans="2:13" x14ac:dyDescent="0.35">
      <c r="B125" t="s">
        <v>4</v>
      </c>
      <c r="C125" t="s">
        <v>414</v>
      </c>
      <c r="D125" s="18">
        <v>13</v>
      </c>
      <c r="E125" s="18">
        <v>392.8</v>
      </c>
      <c r="G125" t="str">
        <f t="shared" si="2"/>
        <v>California</v>
      </c>
      <c r="H125" t="str">
        <f t="shared" si="3"/>
        <v>San Luis Obispo County</v>
      </c>
      <c r="I125">
        <f t="shared" si="4"/>
        <v>13</v>
      </c>
      <c r="K125" t="str">
        <f t="shared" si="5"/>
        <v>California</v>
      </c>
      <c r="L125" t="str">
        <f t="shared" si="6"/>
        <v>San Luis Obispo County</v>
      </c>
      <c r="M125">
        <f t="shared" si="7"/>
        <v>392.8</v>
      </c>
    </row>
    <row r="126" spans="2:13" x14ac:dyDescent="0.35">
      <c r="B126" t="s">
        <v>4</v>
      </c>
      <c r="C126" t="s">
        <v>57</v>
      </c>
      <c r="D126" s="18">
        <v>364</v>
      </c>
      <c r="E126" s="18">
        <v>16172.000000000005</v>
      </c>
      <c r="G126" t="str">
        <f t="shared" si="2"/>
        <v>California</v>
      </c>
      <c r="H126" t="str">
        <f t="shared" si="3"/>
        <v>San Mateo County</v>
      </c>
      <c r="I126">
        <f t="shared" si="4"/>
        <v>364</v>
      </c>
      <c r="K126" t="str">
        <f t="shared" si="5"/>
        <v>California</v>
      </c>
      <c r="L126" t="str">
        <f t="shared" si="6"/>
        <v>San Mateo County</v>
      </c>
      <c r="M126">
        <f t="shared" si="7"/>
        <v>16172.000000000005</v>
      </c>
    </row>
    <row r="127" spans="2:13" x14ac:dyDescent="0.35">
      <c r="B127" t="s">
        <v>4</v>
      </c>
      <c r="C127" t="s">
        <v>59</v>
      </c>
      <c r="D127" s="18">
        <v>95</v>
      </c>
      <c r="E127" s="18">
        <v>4334.9999999999991</v>
      </c>
      <c r="G127" t="str">
        <f t="shared" si="2"/>
        <v>California</v>
      </c>
      <c r="H127" t="str">
        <f t="shared" si="3"/>
        <v>Santa Barbara County</v>
      </c>
      <c r="I127">
        <f t="shared" si="4"/>
        <v>95</v>
      </c>
      <c r="K127" t="str">
        <f t="shared" si="5"/>
        <v>California</v>
      </c>
      <c r="L127" t="str">
        <f t="shared" si="6"/>
        <v>Santa Barbara County</v>
      </c>
      <c r="M127">
        <f t="shared" si="7"/>
        <v>4334.9999999999991</v>
      </c>
    </row>
    <row r="128" spans="2:13" x14ac:dyDescent="0.35">
      <c r="B128" t="s">
        <v>4</v>
      </c>
      <c r="C128" t="s">
        <v>62</v>
      </c>
      <c r="D128" s="18">
        <v>737</v>
      </c>
      <c r="E128" s="18">
        <v>37449.000000000007</v>
      </c>
      <c r="G128" t="str">
        <f t="shared" si="2"/>
        <v>California</v>
      </c>
      <c r="H128" t="str">
        <f t="shared" si="3"/>
        <v>Santa Clara County</v>
      </c>
      <c r="I128">
        <f t="shared" si="4"/>
        <v>737</v>
      </c>
      <c r="K128" t="str">
        <f t="shared" si="5"/>
        <v>California</v>
      </c>
      <c r="L128" t="str">
        <f t="shared" si="6"/>
        <v>Santa Clara County</v>
      </c>
      <c r="M128">
        <f t="shared" si="7"/>
        <v>37449.000000000007</v>
      </c>
    </row>
    <row r="129" spans="2:13" x14ac:dyDescent="0.35">
      <c r="B129" t="s">
        <v>4</v>
      </c>
      <c r="C129" t="s">
        <v>294</v>
      </c>
      <c r="D129" s="18">
        <v>39</v>
      </c>
      <c r="E129" s="18">
        <v>2447.5</v>
      </c>
      <c r="G129" t="str">
        <f t="shared" si="2"/>
        <v>California</v>
      </c>
      <c r="H129" t="str">
        <f t="shared" si="3"/>
        <v>Santa Cruz County</v>
      </c>
      <c r="I129">
        <f t="shared" si="4"/>
        <v>39</v>
      </c>
      <c r="K129" t="str">
        <f t="shared" si="5"/>
        <v>California</v>
      </c>
      <c r="L129" t="str">
        <f t="shared" si="6"/>
        <v>Santa Cruz County</v>
      </c>
      <c r="M129">
        <f t="shared" si="7"/>
        <v>2447.5</v>
      </c>
    </row>
    <row r="130" spans="2:13" x14ac:dyDescent="0.35">
      <c r="B130" t="s">
        <v>4</v>
      </c>
      <c r="C130" t="s">
        <v>1101</v>
      </c>
      <c r="D130" s="18">
        <v>56</v>
      </c>
      <c r="E130" s="18">
        <v>3391.1</v>
      </c>
      <c r="G130" t="str">
        <f t="shared" si="2"/>
        <v>California</v>
      </c>
      <c r="H130" t="str">
        <f t="shared" si="3"/>
        <v>Shasta County</v>
      </c>
      <c r="I130">
        <f t="shared" si="4"/>
        <v>56</v>
      </c>
      <c r="K130" t="str">
        <f t="shared" si="5"/>
        <v>California</v>
      </c>
      <c r="L130" t="str">
        <f t="shared" si="6"/>
        <v>Shasta County</v>
      </c>
      <c r="M130">
        <f t="shared" si="7"/>
        <v>3391.1</v>
      </c>
    </row>
    <row r="131" spans="2:13" x14ac:dyDescent="0.35">
      <c r="B131" t="s">
        <v>4</v>
      </c>
      <c r="C131" t="s">
        <v>685</v>
      </c>
      <c r="D131" s="18">
        <v>2</v>
      </c>
      <c r="E131" s="18">
        <v>30.8</v>
      </c>
      <c r="G131" t="str">
        <f t="shared" si="2"/>
        <v>California</v>
      </c>
      <c r="H131" t="str">
        <f t="shared" si="3"/>
        <v>Sierra County</v>
      </c>
      <c r="I131">
        <f t="shared" si="4"/>
        <v>2</v>
      </c>
      <c r="K131" t="str">
        <f t="shared" si="5"/>
        <v>California</v>
      </c>
      <c r="L131" t="str">
        <f t="shared" si="6"/>
        <v>Sierra County</v>
      </c>
      <c r="M131">
        <f t="shared" si="7"/>
        <v>30.8</v>
      </c>
    </row>
    <row r="132" spans="2:13" x14ac:dyDescent="0.35">
      <c r="B132" t="s">
        <v>4</v>
      </c>
      <c r="C132" t="s">
        <v>253</v>
      </c>
      <c r="D132" s="18">
        <v>8</v>
      </c>
      <c r="E132" s="18">
        <v>332.3</v>
      </c>
      <c r="G132" t="str">
        <f t="shared" si="2"/>
        <v>California</v>
      </c>
      <c r="H132" t="str">
        <f t="shared" si="3"/>
        <v>Siskiyou County</v>
      </c>
      <c r="I132">
        <f t="shared" si="4"/>
        <v>8</v>
      </c>
      <c r="K132" t="str">
        <f t="shared" si="5"/>
        <v>California</v>
      </c>
      <c r="L132" t="str">
        <f t="shared" si="6"/>
        <v>Siskiyou County</v>
      </c>
      <c r="M132">
        <f t="shared" si="7"/>
        <v>332.3</v>
      </c>
    </row>
    <row r="133" spans="2:13" x14ac:dyDescent="0.35">
      <c r="B133" t="s">
        <v>4</v>
      </c>
      <c r="C133" t="s">
        <v>362</v>
      </c>
      <c r="D133" s="18">
        <v>52</v>
      </c>
      <c r="E133" s="18">
        <v>3175.9999999999995</v>
      </c>
      <c r="G133" t="str">
        <f t="shared" si="2"/>
        <v>California</v>
      </c>
      <c r="H133" t="str">
        <f t="shared" si="3"/>
        <v>Solano County</v>
      </c>
      <c r="I133">
        <f t="shared" si="4"/>
        <v>52</v>
      </c>
      <c r="K133" t="str">
        <f t="shared" si="5"/>
        <v>California</v>
      </c>
      <c r="L133" t="str">
        <f t="shared" si="6"/>
        <v>Solano County</v>
      </c>
      <c r="M133">
        <f t="shared" si="7"/>
        <v>3175.9999999999995</v>
      </c>
    </row>
    <row r="134" spans="2:13" x14ac:dyDescent="0.35">
      <c r="B134" t="s">
        <v>4</v>
      </c>
      <c r="C134" t="s">
        <v>93</v>
      </c>
      <c r="D134" s="18">
        <v>295</v>
      </c>
      <c r="E134" s="18">
        <v>20939.600000000002</v>
      </c>
      <c r="G134" t="str">
        <f t="shared" si="2"/>
        <v>California</v>
      </c>
      <c r="H134" t="str">
        <f t="shared" si="3"/>
        <v>Sonoma County</v>
      </c>
      <c r="I134">
        <f t="shared" si="4"/>
        <v>295</v>
      </c>
      <c r="K134" t="str">
        <f t="shared" si="5"/>
        <v>California</v>
      </c>
      <c r="L134" t="str">
        <f t="shared" si="6"/>
        <v>Sonoma County</v>
      </c>
      <c r="M134">
        <f t="shared" si="7"/>
        <v>20939.600000000002</v>
      </c>
    </row>
    <row r="135" spans="2:13" x14ac:dyDescent="0.35">
      <c r="B135" t="s">
        <v>4</v>
      </c>
      <c r="C135" t="s">
        <v>95</v>
      </c>
      <c r="D135" s="18">
        <v>195</v>
      </c>
      <c r="E135" s="18">
        <v>10185.899999999996</v>
      </c>
      <c r="G135" t="str">
        <f t="shared" si="2"/>
        <v>California</v>
      </c>
      <c r="H135" t="str">
        <f t="shared" si="3"/>
        <v>Stanislaus County</v>
      </c>
      <c r="I135">
        <f t="shared" si="4"/>
        <v>195</v>
      </c>
      <c r="K135" t="str">
        <f t="shared" si="5"/>
        <v>California</v>
      </c>
      <c r="L135" t="str">
        <f t="shared" si="6"/>
        <v>Stanislaus County</v>
      </c>
      <c r="M135">
        <f t="shared" si="7"/>
        <v>10185.899999999996</v>
      </c>
    </row>
    <row r="136" spans="2:13" x14ac:dyDescent="0.35">
      <c r="B136" t="s">
        <v>4</v>
      </c>
      <c r="C136" t="s">
        <v>277</v>
      </c>
      <c r="D136" s="18">
        <v>20</v>
      </c>
      <c r="E136" s="18">
        <v>958.7</v>
      </c>
      <c r="G136" t="str">
        <f t="shared" si="2"/>
        <v>California</v>
      </c>
      <c r="H136" t="str">
        <f t="shared" si="3"/>
        <v>Sutter County</v>
      </c>
      <c r="I136">
        <f t="shared" si="4"/>
        <v>20</v>
      </c>
      <c r="K136" t="str">
        <f t="shared" si="5"/>
        <v>California</v>
      </c>
      <c r="L136" t="str">
        <f t="shared" si="6"/>
        <v>Sutter County</v>
      </c>
      <c r="M136">
        <f t="shared" si="7"/>
        <v>958.7</v>
      </c>
    </row>
    <row r="137" spans="2:13" x14ac:dyDescent="0.35">
      <c r="B137" t="s">
        <v>4</v>
      </c>
      <c r="C137" t="s">
        <v>64</v>
      </c>
      <c r="D137" s="18">
        <v>6</v>
      </c>
      <c r="E137" s="18">
        <v>323</v>
      </c>
      <c r="G137" t="str">
        <f t="shared" si="2"/>
        <v>California</v>
      </c>
      <c r="H137" t="str">
        <f t="shared" si="3"/>
        <v>Tehama County</v>
      </c>
      <c r="I137">
        <f t="shared" si="4"/>
        <v>6</v>
      </c>
      <c r="K137" t="str">
        <f t="shared" si="5"/>
        <v>California</v>
      </c>
      <c r="L137" t="str">
        <f t="shared" si="6"/>
        <v>Tehama County</v>
      </c>
      <c r="M137">
        <f t="shared" si="7"/>
        <v>323</v>
      </c>
    </row>
    <row r="138" spans="2:13" x14ac:dyDescent="0.35">
      <c r="B138" t="s">
        <v>4</v>
      </c>
      <c r="C138" t="s">
        <v>593</v>
      </c>
      <c r="D138" s="18">
        <v>5</v>
      </c>
      <c r="E138" s="18">
        <v>167.70000000000002</v>
      </c>
      <c r="G138" t="str">
        <f t="shared" si="2"/>
        <v>California</v>
      </c>
      <c r="H138" t="str">
        <f t="shared" si="3"/>
        <v>Trinity County</v>
      </c>
      <c r="I138">
        <f t="shared" si="4"/>
        <v>5</v>
      </c>
      <c r="K138" t="str">
        <f t="shared" si="5"/>
        <v>California</v>
      </c>
      <c r="L138" t="str">
        <f t="shared" si="6"/>
        <v>Trinity County</v>
      </c>
      <c r="M138">
        <f t="shared" si="7"/>
        <v>167.70000000000002</v>
      </c>
    </row>
    <row r="139" spans="2:13" x14ac:dyDescent="0.35">
      <c r="B139" t="s">
        <v>4</v>
      </c>
      <c r="C139" t="s">
        <v>98</v>
      </c>
      <c r="D139" s="18">
        <v>94</v>
      </c>
      <c r="E139" s="18">
        <v>3978.5</v>
      </c>
      <c r="G139" t="str">
        <f t="shared" si="2"/>
        <v>California</v>
      </c>
      <c r="H139" t="str">
        <f t="shared" si="3"/>
        <v>Tulare County</v>
      </c>
      <c r="I139">
        <f t="shared" si="4"/>
        <v>94</v>
      </c>
      <c r="K139" t="str">
        <f t="shared" si="5"/>
        <v>California</v>
      </c>
      <c r="L139" t="str">
        <f t="shared" si="6"/>
        <v>Tulare County</v>
      </c>
      <c r="M139">
        <f t="shared" si="7"/>
        <v>3978.5</v>
      </c>
    </row>
    <row r="140" spans="2:13" x14ac:dyDescent="0.35">
      <c r="B140" t="s">
        <v>4</v>
      </c>
      <c r="C140" t="s">
        <v>982</v>
      </c>
      <c r="D140" s="18">
        <v>28</v>
      </c>
      <c r="E140" s="18">
        <v>1405</v>
      </c>
      <c r="G140" t="str">
        <f t="shared" si="2"/>
        <v>California</v>
      </c>
      <c r="H140" t="str">
        <f t="shared" si="3"/>
        <v>Tuolumne County</v>
      </c>
      <c r="I140">
        <f t="shared" si="4"/>
        <v>28</v>
      </c>
      <c r="K140" t="str">
        <f t="shared" si="5"/>
        <v>California</v>
      </c>
      <c r="L140" t="str">
        <f t="shared" si="6"/>
        <v>Tuolumne County</v>
      </c>
      <c r="M140">
        <f t="shared" si="7"/>
        <v>1405</v>
      </c>
    </row>
    <row r="141" spans="2:13" x14ac:dyDescent="0.35">
      <c r="B141" t="s">
        <v>4</v>
      </c>
      <c r="C141" t="s">
        <v>67</v>
      </c>
      <c r="D141" s="18">
        <v>179</v>
      </c>
      <c r="E141" s="18">
        <v>9869.0999999999985</v>
      </c>
      <c r="G141" t="str">
        <f t="shared" si="2"/>
        <v>California</v>
      </c>
      <c r="H141" t="str">
        <f t="shared" si="3"/>
        <v>Ventura County</v>
      </c>
      <c r="I141">
        <f t="shared" si="4"/>
        <v>179</v>
      </c>
      <c r="K141" t="str">
        <f t="shared" si="5"/>
        <v>California</v>
      </c>
      <c r="L141" t="str">
        <f t="shared" si="6"/>
        <v>Ventura County</v>
      </c>
      <c r="M141">
        <f t="shared" si="7"/>
        <v>9869.0999999999985</v>
      </c>
    </row>
    <row r="142" spans="2:13" x14ac:dyDescent="0.35">
      <c r="B142" t="s">
        <v>4</v>
      </c>
      <c r="C142" t="s">
        <v>228</v>
      </c>
      <c r="D142" s="18">
        <v>15</v>
      </c>
      <c r="E142" s="18">
        <v>615.29999999999995</v>
      </c>
      <c r="G142" t="str">
        <f t="shared" si="2"/>
        <v>California</v>
      </c>
      <c r="H142" t="str">
        <f t="shared" si="3"/>
        <v>Yolo County</v>
      </c>
      <c r="I142">
        <f t="shared" si="4"/>
        <v>15</v>
      </c>
      <c r="K142" t="str">
        <f t="shared" si="5"/>
        <v>California</v>
      </c>
      <c r="L142" t="str">
        <f t="shared" si="6"/>
        <v>Yolo County</v>
      </c>
      <c r="M142">
        <f t="shared" si="7"/>
        <v>615.29999999999995</v>
      </c>
    </row>
    <row r="143" spans="2:13" x14ac:dyDescent="0.35">
      <c r="B143" t="s">
        <v>4</v>
      </c>
      <c r="C143" t="s">
        <v>1896</v>
      </c>
      <c r="D143" s="18">
        <v>3</v>
      </c>
      <c r="E143" s="18">
        <v>285</v>
      </c>
      <c r="G143" t="str">
        <f t="shared" si="2"/>
        <v>California</v>
      </c>
      <c r="H143" t="str">
        <f t="shared" si="3"/>
        <v>Yuba County</v>
      </c>
      <c r="I143">
        <f t="shared" si="4"/>
        <v>3</v>
      </c>
      <c r="K143" t="str">
        <f t="shared" si="5"/>
        <v>California</v>
      </c>
      <c r="L143" t="str">
        <f t="shared" si="6"/>
        <v>Yuba County</v>
      </c>
      <c r="M143">
        <f t="shared" si="7"/>
        <v>285</v>
      </c>
    </row>
    <row r="151" spans="1:2" x14ac:dyDescent="0.35">
      <c r="A151" t="s">
        <v>2542</v>
      </c>
    </row>
    <row r="153" spans="1:2" x14ac:dyDescent="0.35">
      <c r="A153" s="5" t="s">
        <v>2518</v>
      </c>
      <c r="B153" t="s">
        <v>2520</v>
      </c>
    </row>
    <row r="154" spans="1:2" x14ac:dyDescent="0.35">
      <c r="A154" s="6">
        <v>0</v>
      </c>
      <c r="B154" s="18">
        <v>175</v>
      </c>
    </row>
    <row r="155" spans="1:2" x14ac:dyDescent="0.35">
      <c r="A155" s="6">
        <v>1</v>
      </c>
      <c r="B155" s="18">
        <v>888</v>
      </c>
    </row>
    <row r="156" spans="1:2" x14ac:dyDescent="0.35">
      <c r="A156" s="6">
        <v>2</v>
      </c>
      <c r="B156" s="18">
        <v>538</v>
      </c>
    </row>
    <row r="157" spans="1:2" x14ac:dyDescent="0.35">
      <c r="A157" s="6">
        <v>3</v>
      </c>
      <c r="B157" s="18">
        <v>344</v>
      </c>
    </row>
    <row r="158" spans="1:2" x14ac:dyDescent="0.35">
      <c r="A158" s="6">
        <v>4</v>
      </c>
      <c r="B158" s="18">
        <v>200</v>
      </c>
    </row>
    <row r="159" spans="1:2" x14ac:dyDescent="0.35">
      <c r="A159" s="6">
        <v>5</v>
      </c>
      <c r="B159" s="18">
        <v>94</v>
      </c>
    </row>
    <row r="160" spans="1:2" x14ac:dyDescent="0.35">
      <c r="A160" s="6">
        <v>6</v>
      </c>
      <c r="B160" s="18">
        <v>51</v>
      </c>
    </row>
    <row r="161" spans="1:2" x14ac:dyDescent="0.35">
      <c r="A161" s="6">
        <v>7</v>
      </c>
      <c r="B161" s="18">
        <v>32</v>
      </c>
    </row>
    <row r="162" spans="1:2" x14ac:dyDescent="0.35">
      <c r="A162" s="6">
        <v>8</v>
      </c>
      <c r="B162" s="18">
        <v>23</v>
      </c>
    </row>
    <row r="163" spans="1:2" x14ac:dyDescent="0.35">
      <c r="A163" s="6">
        <v>9</v>
      </c>
      <c r="B163" s="18">
        <v>9</v>
      </c>
    </row>
    <row r="164" spans="1:2" x14ac:dyDescent="0.35">
      <c r="A164" s="6">
        <v>10</v>
      </c>
      <c r="B164" s="18">
        <v>8</v>
      </c>
    </row>
    <row r="165" spans="1:2" x14ac:dyDescent="0.35">
      <c r="A165" s="6">
        <v>11</v>
      </c>
      <c r="B165" s="18">
        <v>11</v>
      </c>
    </row>
    <row r="166" spans="1:2" x14ac:dyDescent="0.35">
      <c r="A166" s="6">
        <v>12</v>
      </c>
      <c r="B166" s="18">
        <v>4</v>
      </c>
    </row>
    <row r="167" spans="1:2" x14ac:dyDescent="0.35">
      <c r="A167" s="6">
        <v>13</v>
      </c>
      <c r="B167" s="18">
        <v>10</v>
      </c>
    </row>
    <row r="168" spans="1:2" x14ac:dyDescent="0.35">
      <c r="A168" s="6">
        <v>14</v>
      </c>
      <c r="B168" s="18">
        <v>13</v>
      </c>
    </row>
    <row r="169" spans="1:2" x14ac:dyDescent="0.35">
      <c r="A169" s="6" t="s">
        <v>2519</v>
      </c>
      <c r="B169" s="18">
        <v>2400</v>
      </c>
    </row>
    <row r="177" spans="1:7" x14ac:dyDescent="0.35">
      <c r="A177" s="19" t="s">
        <v>2520</v>
      </c>
      <c r="B177" s="19" t="s">
        <v>2534</v>
      </c>
      <c r="C177" s="20"/>
      <c r="D177" s="20"/>
      <c r="E177" s="20"/>
      <c r="F177" s="20"/>
      <c r="G177" s="20"/>
    </row>
    <row r="178" spans="1:7" x14ac:dyDescent="0.35">
      <c r="A178" s="19" t="s">
        <v>2518</v>
      </c>
      <c r="B178" s="20">
        <v>1</v>
      </c>
      <c r="C178" s="20">
        <v>2</v>
      </c>
      <c r="D178" s="20">
        <v>3</v>
      </c>
      <c r="E178" s="20">
        <v>4</v>
      </c>
      <c r="F178" s="20">
        <v>5</v>
      </c>
      <c r="G178" s="20" t="s">
        <v>2519</v>
      </c>
    </row>
    <row r="179" spans="1:7" x14ac:dyDescent="0.35">
      <c r="A179" s="21" t="s">
        <v>2543</v>
      </c>
      <c r="B179" s="22">
        <v>7</v>
      </c>
      <c r="C179" s="22">
        <v>37</v>
      </c>
      <c r="D179" s="22">
        <v>150</v>
      </c>
      <c r="E179" s="22">
        <v>312</v>
      </c>
      <c r="F179" s="22">
        <v>224</v>
      </c>
      <c r="G179" s="22">
        <v>730</v>
      </c>
    </row>
    <row r="180" spans="1:7" x14ac:dyDescent="0.35">
      <c r="A180" s="21" t="s">
        <v>2544</v>
      </c>
      <c r="B180" s="22">
        <v>8</v>
      </c>
      <c r="C180" s="22">
        <v>51</v>
      </c>
      <c r="D180" s="22">
        <v>182</v>
      </c>
      <c r="E180" s="22">
        <v>373</v>
      </c>
      <c r="F180" s="22">
        <v>247</v>
      </c>
      <c r="G180" s="22">
        <v>861</v>
      </c>
    </row>
    <row r="181" spans="1:7" x14ac:dyDescent="0.35">
      <c r="A181" s="21" t="s">
        <v>2545</v>
      </c>
      <c r="B181" s="22">
        <v>6</v>
      </c>
      <c r="C181" s="22">
        <v>39</v>
      </c>
      <c r="D181" s="22">
        <v>163</v>
      </c>
      <c r="E181" s="22">
        <v>351</v>
      </c>
      <c r="F181" s="22">
        <v>250</v>
      </c>
      <c r="G181" s="22">
        <v>809</v>
      </c>
    </row>
    <row r="182" spans="1:7" x14ac:dyDescent="0.35">
      <c r="A182" s="21" t="s">
        <v>2519</v>
      </c>
      <c r="B182" s="22">
        <v>21</v>
      </c>
      <c r="C182" s="22">
        <v>127</v>
      </c>
      <c r="D182" s="22">
        <v>495</v>
      </c>
      <c r="E182" s="22">
        <v>1036</v>
      </c>
      <c r="F182" s="22">
        <v>721</v>
      </c>
      <c r="G182" s="22">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850B-3758-4283-9292-BE88C0E05A6D}">
  <dimension ref="A1"/>
  <sheetViews>
    <sheetView showGridLines="0" tabSelected="1" topLeftCell="A2" zoomScale="50" zoomScaleNormal="50" zoomScalePageLayoutView="57" workbookViewId="0">
      <selection activeCell="AH22" sqref="AH22"/>
    </sheetView>
  </sheetViews>
  <sheetFormatPr defaultRowHeight="14.5" x14ac:dyDescent="0.35"/>
  <cols>
    <col min="1" max="1" width="3.6328125" customWidth="1"/>
    <col min="2" max="2" width="21.453125" customWidth="1"/>
    <col min="3" max="3" width="3.6328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AD91EC-D5BC-48EC-8B8B-0CE0AA4BDB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questions &amp; KPIs</vt:lpstr>
      <vt:lpstr>matrix pivot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riyadho</dc:creator>
  <cp:lastModifiedBy>hafiz riyadho</cp:lastModifiedBy>
  <dcterms:created xsi:type="dcterms:W3CDTF">2026-05-11T07:59:49Z</dcterms:created>
  <dcterms:modified xsi:type="dcterms:W3CDTF">2026-06-14T14:41:17Z</dcterms:modified>
</cp:coreProperties>
</file>